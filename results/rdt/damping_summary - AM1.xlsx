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1\PycharmProjects\RandomDecrement-Damping\results\rdt\"/>
    </mc:Choice>
  </mc:AlternateContent>
  <xr:revisionPtr revIDLastSave="0" documentId="13_ncr:1_{D01DE42E-165A-4A00-96C5-3C9A52E34E13}" xr6:coauthVersionLast="47" xr6:coauthVersionMax="47" xr10:uidLastSave="{00000000-0000-0000-0000-000000000000}"/>
  <bookViews>
    <workbookView xWindow="-24324" yWindow="-21816" windowWidth="38616" windowHeight="21096" xr2:uid="{861DE777-2212-463A-BFE9-B52E3B29243A}"/>
  </bookViews>
  <sheets>
    <sheet name="damping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6" i="1" l="1"/>
  <c r="AB26" i="1"/>
  <c r="AD13" i="1"/>
  <c r="AB13" i="1"/>
  <c r="AB17" i="1" a="1"/>
  <c r="AC17" i="1" a="1"/>
  <c r="AD17" i="1" a="1"/>
  <c r="AB18" i="1" a="1"/>
  <c r="AC18" i="1" a="1"/>
  <c r="AD18" i="1" a="1"/>
  <c r="AB19" i="1" a="1"/>
  <c r="AC19" i="1" a="1"/>
  <c r="AD19" i="1" a="1"/>
  <c r="AB20" i="1" a="1"/>
  <c r="AC20" i="1" a="1"/>
  <c r="AD20" i="1" a="1"/>
  <c r="AB21" i="1" a="1"/>
  <c r="AC21" i="1" a="1"/>
  <c r="AD21" i="1" a="1"/>
  <c r="AB22" i="1" a="1"/>
  <c r="AC22" i="1" a="1"/>
  <c r="AD22" i="1" a="1"/>
  <c r="AB23" i="1" a="1"/>
  <c r="AC23" i="1" a="1"/>
  <c r="AD23" i="1" a="1"/>
  <c r="AB24" i="1" a="1"/>
  <c r="AC24" i="1" a="1"/>
  <c r="AD24" i="1" a="1"/>
  <c r="AC16" i="1" a="1"/>
  <c r="AD16" i="1" a="1"/>
  <c r="AB16" i="1" a="1"/>
  <c r="AB4" i="1" a="1"/>
  <c r="AC4" i="1" a="1"/>
  <c r="AD4" i="1" a="1"/>
  <c r="AB5" i="1" a="1"/>
  <c r="AC5" i="1" a="1"/>
  <c r="AD5" i="1" a="1"/>
  <c r="AB6" i="1" a="1"/>
  <c r="AC6" i="1" a="1"/>
  <c r="AD6" i="1" a="1"/>
  <c r="AB7" i="1" a="1"/>
  <c r="AC7" i="1" a="1"/>
  <c r="AD7" i="1" a="1"/>
  <c r="AB8" i="1" a="1"/>
  <c r="AC8" i="1" a="1"/>
  <c r="AD8" i="1" a="1"/>
  <c r="AB9" i="1" a="1"/>
  <c r="AC9" i="1" a="1"/>
  <c r="AD9" i="1" a="1"/>
  <c r="AB10" i="1" a="1"/>
  <c r="AC10" i="1" a="1"/>
  <c r="AD10" i="1" a="1"/>
  <c r="AB11" i="1" a="1"/>
  <c r="AC11" i="1" a="1"/>
  <c r="AD11" i="1" a="1"/>
  <c r="AC3" i="1" a="1"/>
  <c r="AD3" i="1" a="1"/>
  <c r="AB3" i="1" a="1"/>
  <c r="V46" i="1"/>
  <c r="V39" i="1"/>
  <c r="V29" i="1"/>
  <c r="V20" i="1"/>
  <c r="V11" i="1"/>
  <c r="V2" i="1"/>
  <c r="AD12" i="1" l="1"/>
  <c r="AC12" i="1"/>
  <c r="AB12" i="1"/>
  <c r="AD25" i="1"/>
  <c r="AC25" i="1"/>
  <c r="AB2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<sst xmlns="http://schemas.openxmlformats.org/spreadsheetml/2006/main" count="262" uniqueCount="90">
  <si>
    <t>file</t>
  </si>
  <si>
    <t>dataset</t>
  </si>
  <si>
    <t>channel</t>
  </si>
  <si>
    <t>mode_name</t>
  </si>
  <si>
    <t>band_name</t>
  </si>
  <si>
    <t>mode_frequency_hz</t>
  </si>
  <si>
    <t>mode_period_sec</t>
  </si>
  <si>
    <t>f_low</t>
  </si>
  <si>
    <t>f_high</t>
  </si>
  <si>
    <t>fs_rdt_hz</t>
  </si>
  <si>
    <t>segment_seconds</t>
  </si>
  <si>
    <t>threshold_factor</t>
  </si>
  <si>
    <t>threshold</t>
  </si>
  <si>
    <t>n_segments</t>
  </si>
  <si>
    <t>fit_start_sec</t>
  </si>
  <si>
    <t>fit_end_sec</t>
  </si>
  <si>
    <t>alpha</t>
  </si>
  <si>
    <t>damping_ratio</t>
  </si>
  <si>
    <t>damping_percent</t>
  </si>
  <si>
    <t>fit_r_squared</t>
  </si>
  <si>
    <t>bandpassed_2023-03-01_measured_2023_3p62s_medium_21S2X.npz</t>
  </si>
  <si>
    <t>21S2X</t>
  </si>
  <si>
    <t>measured_2023_3p62s</t>
  </si>
  <si>
    <t>medium</t>
  </si>
  <si>
    <t>bandpassed_2023-03-01_measured_2023_3p62s_medium_21S2Y.npz</t>
  </si>
  <si>
    <t>21S2Y</t>
  </si>
  <si>
    <t>bandpassed_2023-03-01_measured_2023_3p62s_medium_21S3X.npz</t>
  </si>
  <si>
    <t>21S3X</t>
  </si>
  <si>
    <t>bandpassed_2023-03-01_measured_2023_3p62s_medium_25S2X.npz</t>
  </si>
  <si>
    <t>25S2X</t>
  </si>
  <si>
    <t>bandpassed_2023-03-01_measured_2023_3p62s_medium_25S2Y.npz</t>
  </si>
  <si>
    <t>25S2Y</t>
  </si>
  <si>
    <t>bandpassed_2023-03-01_measured_2023_3p62s_medium_25S3X.npz</t>
  </si>
  <si>
    <t>25S3X</t>
  </si>
  <si>
    <t>bandpassed_2023-03-01_measured_2023_3p62s_medium_29S2X.npz</t>
  </si>
  <si>
    <t>29S2X</t>
  </si>
  <si>
    <t>bandpassed_2023-03-01_measured_2023_3p62s_medium_29S2Y.npz</t>
  </si>
  <si>
    <t>29S2Y</t>
  </si>
  <si>
    <t>bandpassed_2023-03-01_measured_2023_3p62s_medium_29S3X.npz</t>
  </si>
  <si>
    <t>29S3X</t>
  </si>
  <si>
    <t>bandpassed_2023-03-01_measured_2023_3p62s_narrow_21S2X.npz</t>
  </si>
  <si>
    <t>narrow</t>
  </si>
  <si>
    <t>bandpassed_2023-03-01_measured_2023_3p62s_narrow_21S2Y.npz</t>
  </si>
  <si>
    <t>bandpassed_2023-03-01_measured_2023_3p62s_narrow_21S3X.npz</t>
  </si>
  <si>
    <t>bandpassed_2023-03-01_measured_2023_3p62s_narrow_25S2X.npz</t>
  </si>
  <si>
    <t>bandpassed_2023-03-01_measured_2023_3p62s_narrow_25S2Y.npz</t>
  </si>
  <si>
    <t>bandpassed_2023-03-01_measured_2023_3p62s_narrow_25S3X.npz</t>
  </si>
  <si>
    <t>bandpassed_2023-03-01_measured_2023_3p62s_narrow_29S2X.npz</t>
  </si>
  <si>
    <t>bandpassed_2023-03-01_measured_2023_3p62s_narrow_29S2Y.npz</t>
  </si>
  <si>
    <t>bandpassed_2023-03-01_measured_2023_3p62s_narrow_29S3X.npz</t>
  </si>
  <si>
    <t>bandpassed_2023-03-01_measured_2023_3p62s_wide_21S2X.npz</t>
  </si>
  <si>
    <t>wide</t>
  </si>
  <si>
    <t>bandpassed_2023-03-01_measured_2023_3p62s_wide_21S2Y.npz</t>
  </si>
  <si>
    <t>bandpassed_2023-03-01_measured_2023_3p62s_wide_21S3X.npz</t>
  </si>
  <si>
    <t>bandpassed_2023-03-01_measured_2023_3p62s_wide_25S2X.npz</t>
  </si>
  <si>
    <t>bandpassed_2023-03-01_measured_2023_3p62s_wide_25S2Y.npz</t>
  </si>
  <si>
    <t>bandpassed_2023-03-01_measured_2023_3p62s_wide_25S3X.npz</t>
  </si>
  <si>
    <t>bandpassed_2023-03-01_measured_2023_3p62s_wide_29S2X.npz</t>
  </si>
  <si>
    <t>bandpassed_2023-03-01_measured_2023_3p62s_wide_29S2Y.npz</t>
  </si>
  <si>
    <t>bandpassed_2023-03-01_measured_2023_3p62s_wide_29S3X.npz</t>
  </si>
  <si>
    <t>bandpassed_2025-12-27_measured_2025_3p01s_medium_21S2X.npz</t>
  </si>
  <si>
    <t>measured_2025_3p01s</t>
  </si>
  <si>
    <t>bandpassed_2025-12-27_measured_2025_3p01s_medium_21S2Y.npz</t>
  </si>
  <si>
    <t>bandpassed_2025-12-27_measured_2025_3p01s_medium_21S3X.npz</t>
  </si>
  <si>
    <t>bandpassed_2025-12-27_measured_2025_3p01s_medium_25S2X.npz</t>
  </si>
  <si>
    <t>bandpassed_2025-12-27_measured_2025_3p01s_medium_25S2Y.npz</t>
  </si>
  <si>
    <t>bandpassed_2025-12-27_measured_2025_3p01s_medium_25S3X.npz</t>
  </si>
  <si>
    <t>bandpassed_2025-12-27_measured_2025_3p01s_medium_29S2X.npz</t>
  </si>
  <si>
    <t>bandpassed_2025-12-27_measured_2025_3p01s_medium_29S2Y.npz</t>
  </si>
  <si>
    <t>bandpassed_2025-12-27_measured_2025_3p01s_medium_29S3X.npz</t>
  </si>
  <si>
    <t>bandpassed_2025-12-27_measured_2025_3p01s_narrow_21S2X.npz</t>
  </si>
  <si>
    <t>bandpassed_2025-12-27_measured_2025_3p01s_narrow_21S2Y.npz</t>
  </si>
  <si>
    <t>bandpassed_2025-12-27_measured_2025_3p01s_narrow_21S3X.npz</t>
  </si>
  <si>
    <t>bandpassed_2025-12-27_measured_2025_3p01s_narrow_25S2X.npz</t>
  </si>
  <si>
    <t>bandpassed_2025-12-27_measured_2025_3p01s_narrow_25S2Y.npz</t>
  </si>
  <si>
    <t>bandpassed_2025-12-27_measured_2025_3p01s_narrow_25S3X.npz</t>
  </si>
  <si>
    <t>bandpassed_2025-12-27_measured_2025_3p01s_narrow_29S2X.npz</t>
  </si>
  <si>
    <t>bandpassed_2025-12-27_measured_2025_3p01s_narrow_29S2Y.npz</t>
  </si>
  <si>
    <t>bandpassed_2025-12-27_measured_2025_3p01s_narrow_29S3X.npz</t>
  </si>
  <si>
    <t>bandpassed_2025-12-27_measured_2025_3p01s_wide_21S2X.npz</t>
  </si>
  <si>
    <t>bandpassed_2025-12-27_measured_2025_3p01s_wide_21S2Y.npz</t>
  </si>
  <si>
    <t>bandpassed_2025-12-27_measured_2025_3p01s_wide_21S3X.npz</t>
  </si>
  <si>
    <t>bandpassed_2025-12-27_measured_2025_3p01s_wide_25S2X.npz</t>
  </si>
  <si>
    <t>bandpassed_2025-12-27_measured_2025_3p01s_wide_25S2Y.npz</t>
  </si>
  <si>
    <t>bandpassed_2025-12-27_measured_2025_3p01s_wide_25S3X.npz</t>
  </si>
  <si>
    <t>bandpassed_2025-12-27_measured_2025_3p01s_wide_29S2X.npz</t>
  </si>
  <si>
    <t>bandpassed_2025-12-27_measured_2025_3p01s_wide_29S2Y.npz</t>
  </si>
  <si>
    <t>bandpassed_2025-12-27_measured_2025_3p01s_wide_29S3X.npz</t>
  </si>
  <si>
    <t>Narrow bands generally 10-15% higher damping</t>
  </si>
  <si>
    <t>Wider bands generally within 5% lower than the medium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</si>
</sst>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Futura Bk BT"/>
      <family val="2"/>
    </font>
    <font>
      <sz val="11"/>
      <color theme="1"/>
      <name val="Futura Bk B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Futura Bk BT"/>
      <family val="2"/>
    </font>
    <font>
      <b/>
      <sz val="13"/>
      <color theme="3"/>
      <name val="Futura Bk BT"/>
      <family val="2"/>
    </font>
    <font>
      <b/>
      <sz val="11"/>
      <color theme="3"/>
      <name val="Futura Bk BT"/>
      <family val="2"/>
    </font>
    <font>
      <sz val="11"/>
      <color rgb="FF006100"/>
      <name val="Futura Bk BT"/>
      <family val="2"/>
    </font>
    <font>
      <sz val="11"/>
      <color rgb="FF9C0006"/>
      <name val="Futura Bk BT"/>
      <family val="2"/>
    </font>
    <font>
      <sz val="11"/>
      <color rgb="FF9C5700"/>
      <name val="Futura Bk BT"/>
      <family val="2"/>
    </font>
    <font>
      <sz val="11"/>
      <color rgb="FF3F3F76"/>
      <name val="Futura Bk BT"/>
      <family val="2"/>
    </font>
    <font>
      <b/>
      <sz val="11"/>
      <color rgb="FF3F3F3F"/>
      <name val="Futura Bk BT"/>
      <family val="2"/>
    </font>
    <font>
      <b/>
      <sz val="11"/>
      <color rgb="FFFA7D00"/>
      <name val="Futura Bk BT"/>
      <family val="2"/>
    </font>
    <font>
      <sz val="11"/>
      <color rgb="FFFA7D00"/>
      <name val="Futura Bk BT"/>
      <family val="2"/>
    </font>
    <font>
      <b/>
      <sz val="11"/>
      <color theme="0"/>
      <name val="Futura Bk BT"/>
      <family val="2"/>
    </font>
    <font>
      <sz val="11"/>
      <color rgb="FFFF0000"/>
      <name val="Futura Bk BT"/>
      <family val="2"/>
    </font>
    <font>
      <i/>
      <sz val="11"/>
      <color rgb="FF7F7F7F"/>
      <name val="Futura Bk BT"/>
      <family val="2"/>
    </font>
    <font>
      <b/>
      <sz val="11"/>
      <color theme="1"/>
      <name val="Futura Bk BT"/>
      <family val="2"/>
    </font>
    <font>
      <sz val="11"/>
      <color theme="0"/>
      <name val="Futura Bk BT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33" borderId="0" xfId="0" applyFill="1"/>
    <xf numFmtId="2" fontId="0" fillId="33" borderId="0" xfId="0" applyNumberFormat="1" applyFill="1"/>
    <xf numFmtId="0" fontId="0" fillId="34" borderId="0" xfId="0" applyFill="1"/>
    <xf numFmtId="2" fontId="0" fillId="34" borderId="0" xfId="0" applyNumberFormat="1" applyFill="1"/>
    <xf numFmtId="0" fontId="0" fillId="35" borderId="0" xfId="0" applyFill="1"/>
    <xf numFmtId="2" fontId="0" fillId="35" borderId="0" xfId="0" applyNumberFormat="1" applyFill="1"/>
    <xf numFmtId="0" fontId="0" fillId="36" borderId="0" xfId="0" applyFill="1"/>
    <xf numFmtId="2" fontId="0" fillId="36" borderId="0" xfId="0" applyNumberFormat="1" applyFill="1"/>
    <xf numFmtId="164" fontId="0" fillId="33" borderId="0" xfId="0" applyNumberFormat="1" applyFill="1"/>
    <xf numFmtId="164" fontId="0" fillId="34" borderId="0" xfId="0" applyNumberFormat="1" applyFill="1"/>
    <xf numFmtId="164" fontId="0" fillId="35" borderId="0" xfId="0" applyNumberFormat="1" applyFill="1"/>
    <xf numFmtId="164" fontId="0" fillId="36" borderId="0" xfId="0" applyNumberFormat="1" applyFill="1"/>
    <xf numFmtId="10" fontId="0" fillId="0" borderId="0" xfId="1" applyNumberFormat="1" applyFont="1"/>
    <xf numFmtId="1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Fill="1" applyBorder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Narrow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damping_summary!$Z$3:$Z$11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damping_summary!$AB$3:$AB$11</c:f>
              <c:numCache>
                <c:formatCode>0.00</c:formatCode>
                <c:ptCount val="9"/>
                <c:pt idx="0">
                  <c:v>6.11700773440971</c:v>
                </c:pt>
                <c:pt idx="1">
                  <c:v>4.7023633352123202</c:v>
                </c:pt>
                <c:pt idx="2">
                  <c:v>6.2887977415004404</c:v>
                </c:pt>
                <c:pt idx="3">
                  <c:v>6.1153865688132099</c:v>
                </c:pt>
                <c:pt idx="4">
                  <c:v>4.6682203175912802</c:v>
                </c:pt>
                <c:pt idx="5">
                  <c:v>6.21925456417343</c:v>
                </c:pt>
                <c:pt idx="6">
                  <c:v>6.1855222171721103</c:v>
                </c:pt>
                <c:pt idx="7">
                  <c:v>4.5818420004402096</c:v>
                </c:pt>
                <c:pt idx="8">
                  <c:v>6.1089871514967298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5C-41A9-B0AE-D683525EE5D6}"/>
            </c:ext>
          </c:extLst>
        </c:ser>
        <c:ser>
          <c:idx val="1"/>
          <c:order val="1"/>
          <c:tx>
            <c:v>Medium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damping_summary!$Z$3:$Z$11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damping_summary!$AC$3:$AC$11</c:f>
              <c:numCache>
                <c:formatCode>0.00</c:formatCode>
                <c:ptCount val="9"/>
                <c:pt idx="0">
                  <c:v>5.8471848442941097</c:v>
                </c:pt>
                <c:pt idx="1">
                  <c:v>3.7368056522663999</c:v>
                </c:pt>
                <c:pt idx="2">
                  <c:v>5.4121388953901999</c:v>
                </c:pt>
                <c:pt idx="3">
                  <c:v>5.4163735317366797</c:v>
                </c:pt>
                <c:pt idx="4">
                  <c:v>3.71698848492876</c:v>
                </c:pt>
                <c:pt idx="5">
                  <c:v>5.3480252760987703</c:v>
                </c:pt>
                <c:pt idx="6">
                  <c:v>5.3923858468878301</c:v>
                </c:pt>
                <c:pt idx="7">
                  <c:v>3.7575209333414801</c:v>
                </c:pt>
                <c:pt idx="8">
                  <c:v>5.4045026177994799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5C-41A9-B0AE-D683525EE5D6}"/>
            </c:ext>
          </c:extLst>
        </c:ser>
        <c:ser>
          <c:idx val="2"/>
          <c:order val="2"/>
          <c:tx>
            <c:v>Wide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damping_summary!$Z$3:$Z$11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damping_summary!$AD$3:$AD$11</c:f>
              <c:numCache>
                <c:formatCode>0.00</c:formatCode>
                <c:ptCount val="9"/>
                <c:pt idx="0">
                  <c:v>5.2593122490890902</c:v>
                </c:pt>
                <c:pt idx="1">
                  <c:v>3.6290623178763499</c:v>
                </c:pt>
                <c:pt idx="2">
                  <c:v>5.2290917043716796</c:v>
                </c:pt>
                <c:pt idx="3">
                  <c:v>5.2803071194364204</c:v>
                </c:pt>
                <c:pt idx="4">
                  <c:v>3.5753594647868399</c:v>
                </c:pt>
                <c:pt idx="5">
                  <c:v>5.2976082596171397</c:v>
                </c:pt>
                <c:pt idx="6">
                  <c:v>5.2308293123835101</c:v>
                </c:pt>
                <c:pt idx="7">
                  <c:v>3.71137715230484</c:v>
                </c:pt>
                <c:pt idx="8">
                  <c:v>5.4792365826091798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5C-41A9-B0AE-D683525EE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937183"/>
        <c:axId val="317937663"/>
      </c:scatterChart>
      <c:valAx>
        <c:axId val="317937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937663"/>
        <c:crosses val="autoZero"/>
        <c:crossBetween val="midCat"/>
      </c:valAx>
      <c:valAx>
        <c:axId val="31793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937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damping_summary!$Z$16:$Z$24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damping_summary!$AB$16:$AB$24</c:f>
              <c:numCache>
                <c:formatCode>0.00</c:formatCode>
                <c:ptCount val="9"/>
                <c:pt idx="0">
                  <c:v>5.6759971175933899</c:v>
                </c:pt>
                <c:pt idx="1">
                  <c:v>2.7427191756737002</c:v>
                </c:pt>
                <c:pt idx="2">
                  <c:v>5.6567906062974496</c:v>
                </c:pt>
                <c:pt idx="3">
                  <c:v>5.5123127490162096</c:v>
                </c:pt>
                <c:pt idx="4">
                  <c:v>2.7381366223775001</c:v>
                </c:pt>
                <c:pt idx="5">
                  <c:v>5.7024778309740896</c:v>
                </c:pt>
                <c:pt idx="6">
                  <c:v>5.4771607408221703</c:v>
                </c:pt>
                <c:pt idx="7">
                  <c:v>2.7401016289329498</c:v>
                </c:pt>
                <c:pt idx="8">
                  <c:v>5.6583676966905596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E9-4328-952E-6F7F2A0402A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damping_summary!$Z$16:$Z$24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damping_summary!$AC$16:$AC$24</c:f>
              <c:numCache>
                <c:formatCode>0.00</c:formatCode>
                <c:ptCount val="9"/>
                <c:pt idx="0">
                  <c:v>4.6354655519838897</c:v>
                </c:pt>
                <c:pt idx="1">
                  <c:v>3.4982539851303298</c:v>
                </c:pt>
                <c:pt idx="2">
                  <c:v>4.6307592854006803</c:v>
                </c:pt>
                <c:pt idx="3">
                  <c:v>4.533395997025</c:v>
                </c:pt>
                <c:pt idx="4">
                  <c:v>3.4781585611269201</c:v>
                </c:pt>
                <c:pt idx="5">
                  <c:v>4.6724331806071904</c:v>
                </c:pt>
                <c:pt idx="6">
                  <c:v>4.5429364277784101</c:v>
                </c:pt>
                <c:pt idx="7">
                  <c:v>3.5033760723669198</c:v>
                </c:pt>
                <c:pt idx="8">
                  <c:v>4.6648570240426901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E9-4328-952E-6F7F2A0402A7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damping_summary!$Z$16:$Z$24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damping_summary!$AD$16:$AD$24</c:f>
              <c:numCache>
                <c:formatCode>0.00</c:formatCode>
                <c:ptCount val="9"/>
                <c:pt idx="0">
                  <c:v>4.7122916854886796</c:v>
                </c:pt>
                <c:pt idx="1">
                  <c:v>3.38807079748968</c:v>
                </c:pt>
                <c:pt idx="2">
                  <c:v>4.7528139174451498</c:v>
                </c:pt>
                <c:pt idx="3">
                  <c:v>4.6394856772441999</c:v>
                </c:pt>
                <c:pt idx="4">
                  <c:v>3.3862868369488401</c:v>
                </c:pt>
                <c:pt idx="5">
                  <c:v>4.7779710080662001</c:v>
                </c:pt>
                <c:pt idx="6">
                  <c:v>4.6318666353781301</c:v>
                </c:pt>
                <c:pt idx="7">
                  <c:v>3.4258255780879501</c:v>
                </c:pt>
                <c:pt idx="8">
                  <c:v>4.7777218078706101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E9-4328-952E-6F7F2A040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937183"/>
        <c:axId val="317937663"/>
      </c:scatterChart>
      <c:valAx>
        <c:axId val="317937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937663"/>
        <c:crosses val="autoZero"/>
        <c:crossBetween val="midCat"/>
      </c:valAx>
      <c:valAx>
        <c:axId val="31793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937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21020</xdr:colOff>
      <xdr:row>1</xdr:row>
      <xdr:rowOff>5255</xdr:rowOff>
    </xdr:from>
    <xdr:to>
      <xdr:col>37</xdr:col>
      <xdr:colOff>210206</xdr:colOff>
      <xdr:row>16</xdr:row>
      <xdr:rowOff>147145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E31155-231A-352F-5290-4E3573DE1A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0</xdr:colOff>
      <xdr:row>20</xdr:row>
      <xdr:rowOff>0</xdr:rowOff>
    </xdr:from>
    <xdr:to>
      <xdr:col>37</xdr:col>
      <xdr:colOff>189186</xdr:colOff>
      <xdr:row>35</xdr:row>
      <xdr:rowOff>141890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E425E7-D0BF-4C6E-8CD9-B287751A3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7EB77-F45B-48DA-9CAB-DD4F7FB63375}">
  <dimension ref="A1:AD55"/>
  <sheetViews>
    <sheetView tabSelected="1" topLeftCell="R1" zoomScale="115" zoomScaleNormal="115" workbookViewId="0">
      <selection activeCell="AN16" sqref="AN16"/>
    </sheetView>
  </sheetViews>
  <sheetFormatPr defaultRowHeight="13.8" x14ac:dyDescent="0.25"/>
  <cols>
    <col min="1" max="1" width="55.36328125" bestFit="1" customWidth="1"/>
    <col min="2" max="2" width="10.26953125" bestFit="1" customWidth="1"/>
    <col min="3" max="3" width="6.54296875" bestFit="1" customWidth="1"/>
    <col min="4" max="4" width="18.54296875" bestFit="1" customWidth="1"/>
    <col min="5" max="5" width="9.54296875" bestFit="1" customWidth="1"/>
    <col min="6" max="6" width="23.36328125" hidden="1" customWidth="1"/>
    <col min="7" max="10" width="0" hidden="1" customWidth="1"/>
    <col min="11" max="11" width="25.08984375" hidden="1" customWidth="1"/>
    <col min="12" max="12" width="27.54296875" hidden="1" customWidth="1"/>
    <col min="13" max="13" width="19.26953125" hidden="1" customWidth="1"/>
    <col min="14" max="14" width="16.26953125" hidden="1" customWidth="1"/>
    <col min="15" max="15" width="12.81640625" hidden="1" customWidth="1"/>
    <col min="16" max="16" width="15.36328125" hidden="1" customWidth="1"/>
    <col min="17" max="17" width="11.81640625" bestFit="1" customWidth="1"/>
    <col min="18" max="18" width="11.54296875" bestFit="1" customWidth="1"/>
    <col min="19" max="19" width="13.6328125" bestFit="1" customWidth="1"/>
    <col min="20" max="20" width="11.81640625" bestFit="1" customWidth="1"/>
    <col min="27" max="27" width="11.726562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30" x14ac:dyDescent="0.25">
      <c r="A2" t="s">
        <v>20</v>
      </c>
      <c r="B2" s="1">
        <v>44986</v>
      </c>
      <c r="C2" t="s">
        <v>21</v>
      </c>
      <c r="D2" t="s">
        <v>22</v>
      </c>
      <c r="E2" s="2" t="s">
        <v>23</v>
      </c>
      <c r="F2" s="3">
        <v>0.27624309392265101</v>
      </c>
      <c r="G2" s="2">
        <v>3.62</v>
      </c>
      <c r="H2" s="2">
        <v>0.23</v>
      </c>
      <c r="I2" s="2">
        <v>0.33</v>
      </c>
      <c r="J2" s="2">
        <v>10</v>
      </c>
      <c r="K2" s="2">
        <v>90</v>
      </c>
      <c r="L2" s="2">
        <v>0.5</v>
      </c>
      <c r="M2" s="2">
        <v>4.4386889272509701E-4</v>
      </c>
      <c r="N2" s="2">
        <v>9241</v>
      </c>
      <c r="O2" s="2">
        <v>3.62</v>
      </c>
      <c r="P2" s="2">
        <v>43.44</v>
      </c>
      <c r="Q2" s="2">
        <v>0.101488800834342</v>
      </c>
      <c r="R2" s="10">
        <v>5.84718484429411E-2</v>
      </c>
      <c r="S2">
        <v>5.8471848442941097</v>
      </c>
      <c r="T2">
        <v>0.89313062612671701</v>
      </c>
      <c r="V2" s="14">
        <f>AVERAGE(R2:R10)</f>
        <v>4.8924362314159676E-2</v>
      </c>
      <c r="AA2" s="15">
        <v>44986</v>
      </c>
      <c r="AB2" s="16" t="s">
        <v>41</v>
      </c>
      <c r="AC2" s="16" t="s">
        <v>23</v>
      </c>
      <c r="AD2" s="16" t="s">
        <v>51</v>
      </c>
    </row>
    <row r="3" spans="1:30" x14ac:dyDescent="0.25">
      <c r="A3" t="s">
        <v>24</v>
      </c>
      <c r="B3" s="1">
        <v>44986</v>
      </c>
      <c r="C3" t="s">
        <v>25</v>
      </c>
      <c r="D3" t="s">
        <v>22</v>
      </c>
      <c r="E3" s="2" t="s">
        <v>23</v>
      </c>
      <c r="F3" s="3">
        <v>0.27624309392265101</v>
      </c>
      <c r="G3" s="2">
        <v>3.62</v>
      </c>
      <c r="H3" s="2">
        <v>0.23</v>
      </c>
      <c r="I3" s="2">
        <v>0.33</v>
      </c>
      <c r="J3" s="2">
        <v>10</v>
      </c>
      <c r="K3" s="2">
        <v>90</v>
      </c>
      <c r="L3" s="2">
        <v>0.5</v>
      </c>
      <c r="M3" s="2">
        <v>3.3702417025904802E-4</v>
      </c>
      <c r="N3" s="2">
        <v>13745</v>
      </c>
      <c r="O3" s="2">
        <v>3.62</v>
      </c>
      <c r="P3" s="2">
        <v>43.44</v>
      </c>
      <c r="Q3" s="2">
        <v>6.4859233066590902E-2</v>
      </c>
      <c r="R3" s="10">
        <v>3.7368056522663999E-2</v>
      </c>
      <c r="S3">
        <v>3.7368056522663999</v>
      </c>
      <c r="T3">
        <v>0.46655466240167798</v>
      </c>
      <c r="Z3">
        <v>1</v>
      </c>
      <c r="AA3" s="16" t="s">
        <v>21</v>
      </c>
      <c r="AB3" s="17" cm="1">
        <f t="array" ref="AB3">_xlfn._xlws.FILTER($S$2:$S$55,($C$2:$C$55=$AA3)*($B$2:$B$55=$AA$2)*($E$2:$E$55=AB$2))</f>
        <v>6.11700773440971</v>
      </c>
      <c r="AC3" s="17" cm="1">
        <f t="array" ref="AC3">_xlfn._xlws.FILTER($S$2:$S$55,($C$2:$C$55=$AA3)*($B$2:$B$55=$AA$2)*($E$2:$E$55=AC$2))</f>
        <v>5.8471848442941097</v>
      </c>
      <c r="AD3" s="17" cm="1">
        <f t="array" ref="AD3">_xlfn._xlws.FILTER($S$2:$S$55,($C$2:$C$55=$AA3)*($B$2:$B$55=$AA$2)*($E$2:$E$55=AD$2))</f>
        <v>5.2593122490890902</v>
      </c>
    </row>
    <row r="4" spans="1:30" x14ac:dyDescent="0.25">
      <c r="A4" t="s">
        <v>26</v>
      </c>
      <c r="B4" s="1">
        <v>44986</v>
      </c>
      <c r="C4" t="s">
        <v>27</v>
      </c>
      <c r="D4" t="s">
        <v>22</v>
      </c>
      <c r="E4" s="2" t="s">
        <v>23</v>
      </c>
      <c r="F4" s="3">
        <v>0.27624309392265101</v>
      </c>
      <c r="G4" s="2">
        <v>3.62</v>
      </c>
      <c r="H4" s="2">
        <v>0.23</v>
      </c>
      <c r="I4" s="2">
        <v>0.33</v>
      </c>
      <c r="J4" s="2">
        <v>10</v>
      </c>
      <c r="K4" s="2">
        <v>90</v>
      </c>
      <c r="L4" s="2">
        <v>0.5</v>
      </c>
      <c r="M4" s="2">
        <v>3.5524309639264201E-4</v>
      </c>
      <c r="N4" s="2">
        <v>9724</v>
      </c>
      <c r="O4" s="2">
        <v>3.62</v>
      </c>
      <c r="P4" s="2">
        <v>43.44</v>
      </c>
      <c r="Q4" s="2">
        <v>9.3937766817488694E-2</v>
      </c>
      <c r="R4" s="10">
        <v>5.4121388953901998E-2</v>
      </c>
      <c r="S4">
        <v>5.4121388953901999</v>
      </c>
      <c r="T4">
        <v>0.85927249475487399</v>
      </c>
      <c r="Z4">
        <v>2</v>
      </c>
      <c r="AA4" s="16" t="s">
        <v>25</v>
      </c>
      <c r="AB4" s="17" cm="1">
        <f t="array" ref="AB4">_xlfn._xlws.FILTER($S$2:$S$55,($C$2:$C$55=$AA4)*($B$2:$B$55=$AA$2)*($E$2:$E$55=AB$2))</f>
        <v>4.7023633352123202</v>
      </c>
      <c r="AC4" s="17" cm="1">
        <f t="array" ref="AC4">_xlfn._xlws.FILTER($S$2:$S$55,($C$2:$C$55=$AA4)*($B$2:$B$55=$AA$2)*($E$2:$E$55=AC$2))</f>
        <v>3.7368056522663999</v>
      </c>
      <c r="AD4" s="17" cm="1">
        <f t="array" ref="AD4">_xlfn._xlws.FILTER($S$2:$S$55,($C$2:$C$55=$AA4)*($B$2:$B$55=$AA$2)*($E$2:$E$55=AD$2))</f>
        <v>3.6290623178763499</v>
      </c>
    </row>
    <row r="5" spans="1:30" x14ac:dyDescent="0.25">
      <c r="A5" t="s">
        <v>28</v>
      </c>
      <c r="B5" s="1">
        <v>44986</v>
      </c>
      <c r="C5" t="s">
        <v>29</v>
      </c>
      <c r="D5" t="s">
        <v>22</v>
      </c>
      <c r="E5" s="2" t="s">
        <v>23</v>
      </c>
      <c r="F5" s="3">
        <v>0.27624309392265101</v>
      </c>
      <c r="G5" s="2">
        <v>3.62</v>
      </c>
      <c r="H5" s="2">
        <v>0.23</v>
      </c>
      <c r="I5" s="2">
        <v>0.33</v>
      </c>
      <c r="J5" s="2">
        <v>10</v>
      </c>
      <c r="K5" s="2">
        <v>90</v>
      </c>
      <c r="L5" s="2">
        <v>0.5</v>
      </c>
      <c r="M5" s="2">
        <v>5.1508827290703901E-4</v>
      </c>
      <c r="N5" s="2">
        <v>9262</v>
      </c>
      <c r="O5" s="2">
        <v>3.62</v>
      </c>
      <c r="P5" s="2">
        <v>43.44</v>
      </c>
      <c r="Q5" s="2">
        <v>9.4011266830951096E-2</v>
      </c>
      <c r="R5" s="10">
        <v>5.4163735317366797E-2</v>
      </c>
      <c r="S5">
        <v>5.4163735317366797</v>
      </c>
      <c r="T5">
        <v>0.90524731987498896</v>
      </c>
      <c r="Z5">
        <v>3</v>
      </c>
      <c r="AA5" s="16" t="s">
        <v>27</v>
      </c>
      <c r="AB5" s="17" cm="1">
        <f t="array" ref="AB5">_xlfn._xlws.FILTER($S$2:$S$55,($C$2:$C$55=$AA5)*($B$2:$B$55=$AA$2)*($E$2:$E$55=AB$2))</f>
        <v>6.2887977415004404</v>
      </c>
      <c r="AC5" s="17" cm="1">
        <f t="array" ref="AC5">_xlfn._xlws.FILTER($S$2:$S$55,($C$2:$C$55=$AA5)*($B$2:$B$55=$AA$2)*($E$2:$E$55=AC$2))</f>
        <v>5.4121388953901999</v>
      </c>
      <c r="AD5" s="17" cm="1">
        <f t="array" ref="AD5">_xlfn._xlws.FILTER($S$2:$S$55,($C$2:$C$55=$AA5)*($B$2:$B$55=$AA$2)*($E$2:$E$55=AD$2))</f>
        <v>5.2290917043716796</v>
      </c>
    </row>
    <row r="6" spans="1:30" x14ac:dyDescent="0.25">
      <c r="A6" t="s">
        <v>30</v>
      </c>
      <c r="B6" s="1">
        <v>44986</v>
      </c>
      <c r="C6" t="s">
        <v>31</v>
      </c>
      <c r="D6" t="s">
        <v>22</v>
      </c>
      <c r="E6" s="2" t="s">
        <v>23</v>
      </c>
      <c r="F6" s="3">
        <v>0.27624309392265101</v>
      </c>
      <c r="G6" s="2">
        <v>3.62</v>
      </c>
      <c r="H6" s="2">
        <v>0.23</v>
      </c>
      <c r="I6" s="2">
        <v>0.33</v>
      </c>
      <c r="J6" s="2">
        <v>10</v>
      </c>
      <c r="K6" s="2">
        <v>90</v>
      </c>
      <c r="L6" s="2">
        <v>0.5</v>
      </c>
      <c r="M6" s="2">
        <v>4.0217327103430202E-4</v>
      </c>
      <c r="N6" s="2">
        <v>13972</v>
      </c>
      <c r="O6" s="2">
        <v>3.62</v>
      </c>
      <c r="P6" s="2">
        <v>43.44</v>
      </c>
      <c r="Q6" s="2">
        <v>6.4515269158729502E-2</v>
      </c>
      <c r="R6" s="10">
        <v>3.7169884849287599E-2</v>
      </c>
      <c r="S6">
        <v>3.71698848492876</v>
      </c>
      <c r="T6">
        <v>0.43455263093937802</v>
      </c>
      <c r="Z6">
        <v>4</v>
      </c>
      <c r="AA6" s="16" t="s">
        <v>29</v>
      </c>
      <c r="AB6" s="17" cm="1">
        <f t="array" ref="AB6">_xlfn._xlws.FILTER($S$2:$S$55,($C$2:$C$55=$AA6)*($B$2:$B$55=$AA$2)*($E$2:$E$55=AB$2))</f>
        <v>6.1153865688132099</v>
      </c>
      <c r="AC6" s="17" cm="1">
        <f t="array" ref="AC6">_xlfn._xlws.FILTER($S$2:$S$55,($C$2:$C$55=$AA6)*($B$2:$B$55=$AA$2)*($E$2:$E$55=AC$2))</f>
        <v>5.4163735317366797</v>
      </c>
      <c r="AD6" s="17" cm="1">
        <f t="array" ref="AD6">_xlfn._xlws.FILTER($S$2:$S$55,($C$2:$C$55=$AA6)*($B$2:$B$55=$AA$2)*($E$2:$E$55=AD$2))</f>
        <v>5.2803071194364204</v>
      </c>
    </row>
    <row r="7" spans="1:30" x14ac:dyDescent="0.25">
      <c r="A7" t="s">
        <v>32</v>
      </c>
      <c r="B7" s="1">
        <v>44986</v>
      </c>
      <c r="C7" t="s">
        <v>33</v>
      </c>
      <c r="D7" t="s">
        <v>22</v>
      </c>
      <c r="E7" s="2" t="s">
        <v>23</v>
      </c>
      <c r="F7" s="3">
        <v>0.27624309392265101</v>
      </c>
      <c r="G7" s="2">
        <v>3.62</v>
      </c>
      <c r="H7" s="2">
        <v>0.23</v>
      </c>
      <c r="I7" s="2">
        <v>0.33</v>
      </c>
      <c r="J7" s="2">
        <v>10</v>
      </c>
      <c r="K7" s="2">
        <v>90</v>
      </c>
      <c r="L7" s="2">
        <v>0.5</v>
      </c>
      <c r="M7" s="2">
        <v>4.1737083658945897E-4</v>
      </c>
      <c r="N7" s="2">
        <v>9906</v>
      </c>
      <c r="O7" s="2">
        <v>3.62</v>
      </c>
      <c r="P7" s="2">
        <v>43.44</v>
      </c>
      <c r="Q7" s="2">
        <v>9.28249553514056E-2</v>
      </c>
      <c r="R7" s="10">
        <v>5.3480252760987702E-2</v>
      </c>
      <c r="S7">
        <v>5.3480252760987703</v>
      </c>
      <c r="T7">
        <v>0.84893409659285302</v>
      </c>
      <c r="Z7">
        <v>5</v>
      </c>
      <c r="AA7" s="16" t="s">
        <v>31</v>
      </c>
      <c r="AB7" s="17" cm="1">
        <f t="array" ref="AB7">_xlfn._xlws.FILTER($S$2:$S$55,($C$2:$C$55=$AA7)*($B$2:$B$55=$AA$2)*($E$2:$E$55=AB$2))</f>
        <v>4.6682203175912802</v>
      </c>
      <c r="AC7" s="17" cm="1">
        <f t="array" ref="AC7">_xlfn._xlws.FILTER($S$2:$S$55,($C$2:$C$55=$AA7)*($B$2:$B$55=$AA$2)*($E$2:$E$55=AC$2))</f>
        <v>3.71698848492876</v>
      </c>
      <c r="AD7" s="17" cm="1">
        <f t="array" ref="AD7">_xlfn._xlws.FILTER($S$2:$S$55,($C$2:$C$55=$AA7)*($B$2:$B$55=$AA$2)*($E$2:$E$55=AD$2))</f>
        <v>3.5753594647868399</v>
      </c>
    </row>
    <row r="8" spans="1:30" x14ac:dyDescent="0.25">
      <c r="A8" t="s">
        <v>34</v>
      </c>
      <c r="B8" s="1">
        <v>44986</v>
      </c>
      <c r="C8" t="s">
        <v>35</v>
      </c>
      <c r="D8" t="s">
        <v>22</v>
      </c>
      <c r="E8" s="2" t="s">
        <v>23</v>
      </c>
      <c r="F8" s="3">
        <v>0.27624309392265101</v>
      </c>
      <c r="G8" s="2">
        <v>3.62</v>
      </c>
      <c r="H8" s="2">
        <v>0.23</v>
      </c>
      <c r="I8" s="2">
        <v>0.33</v>
      </c>
      <c r="J8" s="2">
        <v>10</v>
      </c>
      <c r="K8" s="2">
        <v>90</v>
      </c>
      <c r="L8" s="2">
        <v>0.5</v>
      </c>
      <c r="M8" s="2">
        <v>5.5941277358987599E-4</v>
      </c>
      <c r="N8" s="2">
        <v>9333</v>
      </c>
      <c r="O8" s="2">
        <v>3.62</v>
      </c>
      <c r="P8" s="2">
        <v>43.44</v>
      </c>
      <c r="Q8" s="2">
        <v>9.3594915811626406E-2</v>
      </c>
      <c r="R8" s="10">
        <v>5.3923858468878302E-2</v>
      </c>
      <c r="S8">
        <v>5.3923858468878301</v>
      </c>
      <c r="T8">
        <v>0.902868333264083</v>
      </c>
      <c r="Z8">
        <v>6</v>
      </c>
      <c r="AA8" s="16" t="s">
        <v>33</v>
      </c>
      <c r="AB8" s="17" cm="1">
        <f t="array" ref="AB8">_xlfn._xlws.FILTER($S$2:$S$55,($C$2:$C$55=$AA8)*($B$2:$B$55=$AA$2)*($E$2:$E$55=AB$2))</f>
        <v>6.21925456417343</v>
      </c>
      <c r="AC8" s="17" cm="1">
        <f t="array" ref="AC8">_xlfn._xlws.FILTER($S$2:$S$55,($C$2:$C$55=$AA8)*($B$2:$B$55=$AA$2)*($E$2:$E$55=AC$2))</f>
        <v>5.3480252760987703</v>
      </c>
      <c r="AD8" s="17" cm="1">
        <f t="array" ref="AD8">_xlfn._xlws.FILTER($S$2:$S$55,($C$2:$C$55=$AA8)*($B$2:$B$55=$AA$2)*($E$2:$E$55=AD$2))</f>
        <v>5.2976082596171397</v>
      </c>
    </row>
    <row r="9" spans="1:30" x14ac:dyDescent="0.25">
      <c r="A9" t="s">
        <v>36</v>
      </c>
      <c r="B9" s="1">
        <v>44986</v>
      </c>
      <c r="C9" t="s">
        <v>37</v>
      </c>
      <c r="D9" t="s">
        <v>22</v>
      </c>
      <c r="E9" s="2" t="s">
        <v>23</v>
      </c>
      <c r="F9" s="3">
        <v>0.27624309392265101</v>
      </c>
      <c r="G9" s="2">
        <v>3.62</v>
      </c>
      <c r="H9" s="2">
        <v>0.23</v>
      </c>
      <c r="I9" s="2">
        <v>0.33</v>
      </c>
      <c r="J9" s="2">
        <v>10</v>
      </c>
      <c r="K9" s="2">
        <v>90</v>
      </c>
      <c r="L9" s="2">
        <v>0.5</v>
      </c>
      <c r="M9" s="2">
        <v>4.4563757365781101E-4</v>
      </c>
      <c r="N9" s="2">
        <v>14065</v>
      </c>
      <c r="O9" s="2">
        <v>3.62</v>
      </c>
      <c r="P9" s="2">
        <v>43.44</v>
      </c>
      <c r="Q9" s="2">
        <v>6.52187854137872E-2</v>
      </c>
      <c r="R9" s="10">
        <v>3.7575209333414801E-2</v>
      </c>
      <c r="S9">
        <v>3.7575209333414801</v>
      </c>
      <c r="T9">
        <v>0.436937191998161</v>
      </c>
      <c r="Z9">
        <v>7</v>
      </c>
      <c r="AA9" s="16" t="s">
        <v>35</v>
      </c>
      <c r="AB9" s="17" cm="1">
        <f t="array" ref="AB9">_xlfn._xlws.FILTER($S$2:$S$55,($C$2:$C$55=$AA9)*($B$2:$B$55=$AA$2)*($E$2:$E$55=AB$2))</f>
        <v>6.1855222171721103</v>
      </c>
      <c r="AC9" s="17" cm="1">
        <f t="array" ref="AC9">_xlfn._xlws.FILTER($S$2:$S$55,($C$2:$C$55=$AA9)*($B$2:$B$55=$AA$2)*($E$2:$E$55=AC$2))</f>
        <v>5.3923858468878301</v>
      </c>
      <c r="AD9" s="17" cm="1">
        <f t="array" ref="AD9">_xlfn._xlws.FILTER($S$2:$S$55,($C$2:$C$55=$AA9)*($B$2:$B$55=$AA$2)*($E$2:$E$55=AD$2))</f>
        <v>5.2308293123835101</v>
      </c>
    </row>
    <row r="10" spans="1:30" x14ac:dyDescent="0.25">
      <c r="A10" t="s">
        <v>38</v>
      </c>
      <c r="B10" s="1">
        <v>44986</v>
      </c>
      <c r="C10" t="s">
        <v>39</v>
      </c>
      <c r="D10" t="s">
        <v>22</v>
      </c>
      <c r="E10" s="2" t="s">
        <v>23</v>
      </c>
      <c r="F10" s="3">
        <v>0.27624309392265101</v>
      </c>
      <c r="G10" s="2">
        <v>3.62</v>
      </c>
      <c r="H10" s="2">
        <v>0.23</v>
      </c>
      <c r="I10" s="2">
        <v>0.33</v>
      </c>
      <c r="J10" s="2">
        <v>10</v>
      </c>
      <c r="K10" s="2">
        <v>90</v>
      </c>
      <c r="L10" s="2">
        <v>0.5</v>
      </c>
      <c r="M10" s="2">
        <v>4.8431701732176003E-4</v>
      </c>
      <c r="N10" s="2">
        <v>9872</v>
      </c>
      <c r="O10" s="2">
        <v>3.62</v>
      </c>
      <c r="P10" s="2">
        <v>43.44</v>
      </c>
      <c r="Q10" s="2">
        <v>9.3805224974506399E-2</v>
      </c>
      <c r="R10" s="10">
        <v>5.4045026177994802E-2</v>
      </c>
      <c r="S10">
        <v>5.4045026177994799</v>
      </c>
      <c r="T10">
        <v>0.858499450661105</v>
      </c>
      <c r="Z10">
        <v>8</v>
      </c>
      <c r="AA10" s="16" t="s">
        <v>37</v>
      </c>
      <c r="AB10" s="17" cm="1">
        <f t="array" ref="AB10">_xlfn._xlws.FILTER($S$2:$S$55,($C$2:$C$55=$AA10)*($B$2:$B$55=$AA$2)*($E$2:$E$55=AB$2))</f>
        <v>4.5818420004402096</v>
      </c>
      <c r="AC10" s="17" cm="1">
        <f t="array" ref="AC10">_xlfn._xlws.FILTER($S$2:$S$55,($C$2:$C$55=$AA10)*($B$2:$B$55=$AA$2)*($E$2:$E$55=AC$2))</f>
        <v>3.7575209333414801</v>
      </c>
      <c r="AD10" s="17" cm="1">
        <f t="array" ref="AD10">_xlfn._xlws.FILTER($S$2:$S$55,($C$2:$C$55=$AA10)*($B$2:$B$55=$AA$2)*($E$2:$E$55=AD$2))</f>
        <v>3.71137715230484</v>
      </c>
    </row>
    <row r="11" spans="1:30" x14ac:dyDescent="0.25">
      <c r="A11" t="s">
        <v>40</v>
      </c>
      <c r="B11" s="1">
        <v>44986</v>
      </c>
      <c r="C11" t="s">
        <v>21</v>
      </c>
      <c r="D11" t="s">
        <v>22</v>
      </c>
      <c r="E11" s="4" t="s">
        <v>41</v>
      </c>
      <c r="F11" s="5">
        <v>0.27624309392265101</v>
      </c>
      <c r="G11" s="4">
        <v>3.62</v>
      </c>
      <c r="H11" s="4">
        <v>0.25</v>
      </c>
      <c r="I11" s="4">
        <v>0.31</v>
      </c>
      <c r="J11" s="4">
        <v>10</v>
      </c>
      <c r="K11" s="4">
        <v>90</v>
      </c>
      <c r="L11" s="4">
        <v>0.5</v>
      </c>
      <c r="M11" s="4">
        <v>4.0475349563204999E-4</v>
      </c>
      <c r="N11" s="4">
        <v>7403</v>
      </c>
      <c r="O11" s="4">
        <v>3.62</v>
      </c>
      <c r="P11" s="4">
        <v>43.44</v>
      </c>
      <c r="Q11" s="4">
        <v>0.10617208044405201</v>
      </c>
      <c r="R11" s="11">
        <v>6.1170077344097101E-2</v>
      </c>
      <c r="S11">
        <v>6.11700773440971</v>
      </c>
      <c r="T11">
        <v>0.79330293975744204</v>
      </c>
      <c r="V11" s="14">
        <f>AVERAGE(R11:R19)</f>
        <v>5.6652646256454955E-2</v>
      </c>
      <c r="Z11">
        <v>9</v>
      </c>
      <c r="AA11" s="16" t="s">
        <v>39</v>
      </c>
      <c r="AB11" s="17" cm="1">
        <f t="array" ref="AB11">_xlfn._xlws.FILTER($S$2:$S$55,($C$2:$C$55=$AA11)*($B$2:$B$55=$AA$2)*($E$2:$E$55=AB$2))</f>
        <v>6.1089871514967298</v>
      </c>
      <c r="AC11" s="17" cm="1">
        <f t="array" ref="AC11">_xlfn._xlws.FILTER($S$2:$S$55,($C$2:$C$55=$AA11)*($B$2:$B$55=$AA$2)*($E$2:$E$55=AC$2))</f>
        <v>5.4045026177994799</v>
      </c>
      <c r="AD11" s="17" cm="1">
        <f t="array" ref="AD11">_xlfn._xlws.FILTER($S$2:$S$55,($C$2:$C$55=$AA11)*($B$2:$B$55=$AA$2)*($E$2:$E$55=AD$2))</f>
        <v>5.4792365826091798</v>
      </c>
    </row>
    <row r="12" spans="1:30" x14ac:dyDescent="0.25">
      <c r="A12" t="s">
        <v>42</v>
      </c>
      <c r="B12" s="1">
        <v>44986</v>
      </c>
      <c r="C12" t="s">
        <v>25</v>
      </c>
      <c r="D12" t="s">
        <v>22</v>
      </c>
      <c r="E12" s="4" t="s">
        <v>41</v>
      </c>
      <c r="F12" s="5">
        <v>0.27624309392265101</v>
      </c>
      <c r="G12" s="4">
        <v>3.62</v>
      </c>
      <c r="H12" s="4">
        <v>0.25</v>
      </c>
      <c r="I12" s="4">
        <v>0.31</v>
      </c>
      <c r="J12" s="4">
        <v>10</v>
      </c>
      <c r="K12" s="4">
        <v>90</v>
      </c>
      <c r="L12" s="4">
        <v>0.5</v>
      </c>
      <c r="M12" s="4">
        <v>3.1433221493846602E-4</v>
      </c>
      <c r="N12" s="4">
        <v>12359</v>
      </c>
      <c r="O12" s="4">
        <v>3.62</v>
      </c>
      <c r="P12" s="4">
        <v>43.44</v>
      </c>
      <c r="Q12" s="4">
        <v>8.1618287891784602E-2</v>
      </c>
      <c r="R12" s="11">
        <v>4.7023633352123201E-2</v>
      </c>
      <c r="S12">
        <v>4.7023633352123202</v>
      </c>
      <c r="T12">
        <v>0.68903642242160001</v>
      </c>
      <c r="V12" s="14"/>
      <c r="AA12" s="16"/>
      <c r="AB12" s="17">
        <f>AVERAGE(AB3:AB11)</f>
        <v>5.6652646256454933</v>
      </c>
      <c r="AC12" s="17">
        <f>AVERAGE(AC3:AC11)</f>
        <v>4.8924362314159673</v>
      </c>
      <c r="AD12" s="17">
        <f>AVERAGE(AD3:AD11)</f>
        <v>4.7435760180527833</v>
      </c>
    </row>
    <row r="13" spans="1:30" x14ac:dyDescent="0.25">
      <c r="A13" t="s">
        <v>43</v>
      </c>
      <c r="B13" s="1">
        <v>44986</v>
      </c>
      <c r="C13" t="s">
        <v>27</v>
      </c>
      <c r="D13" t="s">
        <v>22</v>
      </c>
      <c r="E13" s="4" t="s">
        <v>41</v>
      </c>
      <c r="F13" s="5">
        <v>0.27624309392265101</v>
      </c>
      <c r="G13" s="4">
        <v>3.62</v>
      </c>
      <c r="H13" s="4">
        <v>0.25</v>
      </c>
      <c r="I13" s="4">
        <v>0.31</v>
      </c>
      <c r="J13" s="4">
        <v>10</v>
      </c>
      <c r="K13" s="4">
        <v>90</v>
      </c>
      <c r="L13" s="4">
        <v>0.5</v>
      </c>
      <c r="M13" s="4">
        <v>3.22986654097464E-4</v>
      </c>
      <c r="N13" s="4">
        <v>7531</v>
      </c>
      <c r="O13" s="4">
        <v>3.62</v>
      </c>
      <c r="P13" s="4">
        <v>43.44</v>
      </c>
      <c r="Q13" s="4">
        <v>0.10915381648955701</v>
      </c>
      <c r="R13" s="11">
        <v>6.2887977415004404E-2</v>
      </c>
      <c r="S13">
        <v>6.2887977415004404</v>
      </c>
      <c r="T13">
        <v>0.74582474153381995</v>
      </c>
      <c r="V13" s="14"/>
      <c r="AB13" s="18">
        <f>AB12/AC12</f>
        <v>1.1579639177036047</v>
      </c>
      <c r="AC13" s="18"/>
      <c r="AD13" s="18">
        <f>AD12/AC12</f>
        <v>0.96957339731741354</v>
      </c>
    </row>
    <row r="14" spans="1:30" x14ac:dyDescent="0.25">
      <c r="A14" t="s">
        <v>44</v>
      </c>
      <c r="B14" s="1">
        <v>44986</v>
      </c>
      <c r="C14" t="s">
        <v>29</v>
      </c>
      <c r="D14" t="s">
        <v>22</v>
      </c>
      <c r="E14" s="4" t="s">
        <v>41</v>
      </c>
      <c r="F14" s="5">
        <v>0.27624309392265101</v>
      </c>
      <c r="G14" s="4">
        <v>3.62</v>
      </c>
      <c r="H14" s="4">
        <v>0.25</v>
      </c>
      <c r="I14" s="4">
        <v>0.31</v>
      </c>
      <c r="J14" s="4">
        <v>10</v>
      </c>
      <c r="K14" s="4">
        <v>90</v>
      </c>
      <c r="L14" s="4">
        <v>0.5</v>
      </c>
      <c r="M14" s="4">
        <v>4.7017400478185098E-4</v>
      </c>
      <c r="N14" s="4">
        <v>7416</v>
      </c>
      <c r="O14" s="4">
        <v>3.62</v>
      </c>
      <c r="P14" s="4">
        <v>43.44</v>
      </c>
      <c r="Q14" s="4">
        <v>0.10614394209085699</v>
      </c>
      <c r="R14" s="11">
        <v>6.1153865688132102E-2</v>
      </c>
      <c r="S14">
        <v>6.1153865688132099</v>
      </c>
      <c r="T14">
        <v>0.79772385680104096</v>
      </c>
      <c r="V14" s="14"/>
    </row>
    <row r="15" spans="1:30" x14ac:dyDescent="0.25">
      <c r="A15" t="s">
        <v>45</v>
      </c>
      <c r="B15" s="1">
        <v>44986</v>
      </c>
      <c r="C15" t="s">
        <v>31</v>
      </c>
      <c r="D15" t="s">
        <v>22</v>
      </c>
      <c r="E15" s="4" t="s">
        <v>41</v>
      </c>
      <c r="F15" s="5">
        <v>0.27624309392265101</v>
      </c>
      <c r="G15" s="4">
        <v>3.62</v>
      </c>
      <c r="H15" s="4">
        <v>0.25</v>
      </c>
      <c r="I15" s="4">
        <v>0.31</v>
      </c>
      <c r="J15" s="4">
        <v>10</v>
      </c>
      <c r="K15" s="4">
        <v>90</v>
      </c>
      <c r="L15" s="4">
        <v>0.5</v>
      </c>
      <c r="M15" s="4">
        <v>3.7485633847896102E-4</v>
      </c>
      <c r="N15" s="4">
        <v>12564</v>
      </c>
      <c r="O15" s="4">
        <v>3.62</v>
      </c>
      <c r="P15" s="4">
        <v>43.44</v>
      </c>
      <c r="Q15" s="4">
        <v>8.1025672127532505E-2</v>
      </c>
      <c r="R15" s="11">
        <v>4.6682203175912797E-2</v>
      </c>
      <c r="S15">
        <v>4.6682203175912802</v>
      </c>
      <c r="T15">
        <v>0.70340256881035401</v>
      </c>
      <c r="V15" s="14"/>
      <c r="AA15" s="15">
        <v>46018</v>
      </c>
      <c r="AB15" s="16" t="s">
        <v>41</v>
      </c>
      <c r="AC15" s="16" t="s">
        <v>23</v>
      </c>
      <c r="AD15" s="16" t="s">
        <v>51</v>
      </c>
    </row>
    <row r="16" spans="1:30" x14ac:dyDescent="0.25">
      <c r="A16" t="s">
        <v>46</v>
      </c>
      <c r="B16" s="1">
        <v>44986</v>
      </c>
      <c r="C16" t="s">
        <v>33</v>
      </c>
      <c r="D16" t="s">
        <v>22</v>
      </c>
      <c r="E16" s="4" t="s">
        <v>41</v>
      </c>
      <c r="F16" s="5">
        <v>0.27624309392265101</v>
      </c>
      <c r="G16" s="4">
        <v>3.62</v>
      </c>
      <c r="H16" s="4">
        <v>0.25</v>
      </c>
      <c r="I16" s="4">
        <v>0.31</v>
      </c>
      <c r="J16" s="4">
        <v>10</v>
      </c>
      <c r="K16" s="4">
        <v>90</v>
      </c>
      <c r="L16" s="4">
        <v>0.5</v>
      </c>
      <c r="M16" s="4">
        <v>3.7942398770693403E-4</v>
      </c>
      <c r="N16" s="4">
        <v>7612</v>
      </c>
      <c r="O16" s="4">
        <v>3.62</v>
      </c>
      <c r="P16" s="4">
        <v>43.44</v>
      </c>
      <c r="Q16" s="4">
        <v>0.10794676491498301</v>
      </c>
      <c r="R16" s="11">
        <v>6.2192545641734299E-2</v>
      </c>
      <c r="S16">
        <v>6.21925456417343</v>
      </c>
      <c r="T16">
        <v>0.74092126458477703</v>
      </c>
      <c r="V16" s="14"/>
      <c r="Z16">
        <v>1</v>
      </c>
      <c r="AA16" s="16" t="s">
        <v>21</v>
      </c>
      <c r="AB16" s="17" cm="1">
        <f t="array" ref="AB16">_xlfn._xlws.FILTER($S$2:$S$55,($C$2:$C$55=$AA16)*($B$2:$B$55=$AA$15)*($E$2:$E$55=AB$15))</f>
        <v>5.6759971175933899</v>
      </c>
      <c r="AC16" s="17" cm="1">
        <f t="array" ref="AC16">_xlfn._xlws.FILTER($S$2:$S$55,($C$2:$C$55=$AA16)*($B$2:$B$55=$AA$15)*($E$2:$E$55=AC$15))</f>
        <v>4.6354655519838897</v>
      </c>
      <c r="AD16" s="17" cm="1">
        <f t="array" ref="AD16">_xlfn._xlws.FILTER($S$2:$S$55,($C$2:$C$55=$AA16)*($B$2:$B$55=$AA$15)*($E$2:$E$55=AD$15))</f>
        <v>4.7122916854886796</v>
      </c>
    </row>
    <row r="17" spans="1:30" x14ac:dyDescent="0.25">
      <c r="A17" t="s">
        <v>47</v>
      </c>
      <c r="B17" s="1">
        <v>44986</v>
      </c>
      <c r="C17" t="s">
        <v>35</v>
      </c>
      <c r="D17" t="s">
        <v>22</v>
      </c>
      <c r="E17" s="4" t="s">
        <v>41</v>
      </c>
      <c r="F17" s="5">
        <v>0.27624309392265101</v>
      </c>
      <c r="G17" s="4">
        <v>3.62</v>
      </c>
      <c r="H17" s="4">
        <v>0.25</v>
      </c>
      <c r="I17" s="4">
        <v>0.31</v>
      </c>
      <c r="J17" s="4">
        <v>10</v>
      </c>
      <c r="K17" s="4">
        <v>90</v>
      </c>
      <c r="L17" s="4">
        <v>0.5</v>
      </c>
      <c r="M17" s="4">
        <v>5.10690906668728E-4</v>
      </c>
      <c r="N17" s="4">
        <v>7466</v>
      </c>
      <c r="O17" s="4">
        <v>3.62</v>
      </c>
      <c r="P17" s="4">
        <v>43.44</v>
      </c>
      <c r="Q17" s="4">
        <v>0.107361277105438</v>
      </c>
      <c r="R17" s="11">
        <v>6.1855222171721097E-2</v>
      </c>
      <c r="S17">
        <v>6.1855222171721103</v>
      </c>
      <c r="T17">
        <v>0.78900328092600602</v>
      </c>
      <c r="V17" s="14"/>
      <c r="Z17">
        <v>2</v>
      </c>
      <c r="AA17" s="16" t="s">
        <v>25</v>
      </c>
      <c r="AB17" s="17" cm="1">
        <f t="array" ref="AB17">_xlfn._xlws.FILTER($S$2:$S$55,($C$2:$C$55=$AA17)*($B$2:$B$55=$AA$15)*($E$2:$E$55=AB$15))</f>
        <v>2.7427191756737002</v>
      </c>
      <c r="AC17" s="17" cm="1">
        <f t="array" ref="AC17">_xlfn._xlws.FILTER($S$2:$S$55,($C$2:$C$55=$AA17)*($B$2:$B$55=$AA$15)*($E$2:$E$55=AC$15))</f>
        <v>3.4982539851303298</v>
      </c>
      <c r="AD17" s="17" cm="1">
        <f t="array" ref="AD17">_xlfn._xlws.FILTER($S$2:$S$55,($C$2:$C$55=$AA17)*($B$2:$B$55=$AA$15)*($E$2:$E$55=AD$15))</f>
        <v>3.38807079748968</v>
      </c>
    </row>
    <row r="18" spans="1:30" x14ac:dyDescent="0.25">
      <c r="A18" t="s">
        <v>48</v>
      </c>
      <c r="B18" s="1">
        <v>44986</v>
      </c>
      <c r="C18" t="s">
        <v>37</v>
      </c>
      <c r="D18" t="s">
        <v>22</v>
      </c>
      <c r="E18" s="4" t="s">
        <v>41</v>
      </c>
      <c r="F18" s="5">
        <v>0.27624309392265101</v>
      </c>
      <c r="G18" s="4">
        <v>3.62</v>
      </c>
      <c r="H18" s="4">
        <v>0.25</v>
      </c>
      <c r="I18" s="4">
        <v>0.31</v>
      </c>
      <c r="J18" s="4">
        <v>10</v>
      </c>
      <c r="K18" s="4">
        <v>90</v>
      </c>
      <c r="L18" s="4">
        <v>0.5</v>
      </c>
      <c r="M18" s="4">
        <v>4.1656278188065499E-4</v>
      </c>
      <c r="N18" s="4">
        <v>12621</v>
      </c>
      <c r="O18" s="4">
        <v>3.62</v>
      </c>
      <c r="P18" s="4">
        <v>43.44</v>
      </c>
      <c r="Q18" s="4">
        <v>7.9526415295536695E-2</v>
      </c>
      <c r="R18" s="11">
        <v>4.5818420004402102E-2</v>
      </c>
      <c r="S18">
        <v>4.5818420004402096</v>
      </c>
      <c r="T18">
        <v>0.69663639821480305</v>
      </c>
      <c r="V18" s="14"/>
      <c r="Z18">
        <v>3</v>
      </c>
      <c r="AA18" s="16" t="s">
        <v>27</v>
      </c>
      <c r="AB18" s="17" cm="1">
        <f t="array" ref="AB18">_xlfn._xlws.FILTER($S$2:$S$55,($C$2:$C$55=$AA18)*($B$2:$B$55=$AA$15)*($E$2:$E$55=AB$15))</f>
        <v>5.6567906062974496</v>
      </c>
      <c r="AC18" s="17" cm="1">
        <f t="array" ref="AC18">_xlfn._xlws.FILTER($S$2:$S$55,($C$2:$C$55=$AA18)*($B$2:$B$55=$AA$15)*($E$2:$E$55=AC$15))</f>
        <v>4.6307592854006803</v>
      </c>
      <c r="AD18" s="17" cm="1">
        <f t="array" ref="AD18">_xlfn._xlws.FILTER($S$2:$S$55,($C$2:$C$55=$AA18)*($B$2:$B$55=$AA$15)*($E$2:$E$55=AD$15))</f>
        <v>4.7528139174451498</v>
      </c>
    </row>
    <row r="19" spans="1:30" x14ac:dyDescent="0.25">
      <c r="A19" t="s">
        <v>49</v>
      </c>
      <c r="B19" s="1">
        <v>44986</v>
      </c>
      <c r="C19" t="s">
        <v>39</v>
      </c>
      <c r="D19" t="s">
        <v>22</v>
      </c>
      <c r="E19" s="4" t="s">
        <v>41</v>
      </c>
      <c r="F19" s="5">
        <v>0.27624309392265101</v>
      </c>
      <c r="G19" s="4">
        <v>3.62</v>
      </c>
      <c r="H19" s="4">
        <v>0.25</v>
      </c>
      <c r="I19" s="4">
        <v>0.31</v>
      </c>
      <c r="J19" s="4">
        <v>10</v>
      </c>
      <c r="K19" s="4">
        <v>90</v>
      </c>
      <c r="L19" s="4">
        <v>0.5</v>
      </c>
      <c r="M19" s="4">
        <v>4.4117675206288001E-4</v>
      </c>
      <c r="N19" s="4">
        <v>7628</v>
      </c>
      <c r="O19" s="4">
        <v>3.62</v>
      </c>
      <c r="P19" s="4">
        <v>43.44</v>
      </c>
      <c r="Q19" s="4">
        <v>0.106032868265285</v>
      </c>
      <c r="R19" s="11">
        <v>6.1089871514967399E-2</v>
      </c>
      <c r="S19">
        <v>6.1089871514967298</v>
      </c>
      <c r="T19">
        <v>0.76393069756519705</v>
      </c>
      <c r="V19" s="14"/>
      <c r="Z19">
        <v>4</v>
      </c>
      <c r="AA19" s="16" t="s">
        <v>29</v>
      </c>
      <c r="AB19" s="17" cm="1">
        <f t="array" ref="AB19">_xlfn._xlws.FILTER($S$2:$S$55,($C$2:$C$55=$AA19)*($B$2:$B$55=$AA$15)*($E$2:$E$55=AB$15))</f>
        <v>5.5123127490162096</v>
      </c>
      <c r="AC19" s="17" cm="1">
        <f t="array" ref="AC19">_xlfn._xlws.FILTER($S$2:$S$55,($C$2:$C$55=$AA19)*($B$2:$B$55=$AA$15)*($E$2:$E$55=AC$15))</f>
        <v>4.533395997025</v>
      </c>
      <c r="AD19" s="17" cm="1">
        <f t="array" ref="AD19">_xlfn._xlws.FILTER($S$2:$S$55,($C$2:$C$55=$AA19)*($B$2:$B$55=$AA$15)*($E$2:$E$55=AD$15))</f>
        <v>4.6394856772441999</v>
      </c>
    </row>
    <row r="20" spans="1:30" x14ac:dyDescent="0.25">
      <c r="A20" t="s">
        <v>50</v>
      </c>
      <c r="B20" s="1">
        <v>44986</v>
      </c>
      <c r="C20" t="s">
        <v>21</v>
      </c>
      <c r="D20" t="s">
        <v>22</v>
      </c>
      <c r="E20" s="6" t="s">
        <v>51</v>
      </c>
      <c r="F20" s="7">
        <v>0.27624309392265101</v>
      </c>
      <c r="G20" s="6">
        <v>3.62</v>
      </c>
      <c r="H20" s="6">
        <v>0.2</v>
      </c>
      <c r="I20" s="6">
        <v>0.36</v>
      </c>
      <c r="J20" s="6">
        <v>10</v>
      </c>
      <c r="K20" s="6">
        <v>90</v>
      </c>
      <c r="L20" s="6">
        <v>0.5</v>
      </c>
      <c r="M20" s="6">
        <v>4.6650757512646898E-4</v>
      </c>
      <c r="N20" s="6">
        <v>9687</v>
      </c>
      <c r="O20" s="6">
        <v>3.62</v>
      </c>
      <c r="P20" s="6">
        <v>43.44</v>
      </c>
      <c r="Q20" s="6">
        <v>9.1285175274437094E-2</v>
      </c>
      <c r="R20" s="12">
        <v>5.2593122490890903E-2</v>
      </c>
      <c r="S20">
        <v>5.2593122490890902</v>
      </c>
      <c r="T20">
        <v>0.93412537940969997</v>
      </c>
      <c r="V20" s="14">
        <f>AVERAGE(R20:R28)</f>
        <v>4.7435760180527836E-2</v>
      </c>
      <c r="Z20">
        <v>5</v>
      </c>
      <c r="AA20" s="16" t="s">
        <v>31</v>
      </c>
      <c r="AB20" s="17" cm="1">
        <f t="array" ref="AB20">_xlfn._xlws.FILTER($S$2:$S$55,($C$2:$C$55=$AA20)*($B$2:$B$55=$AA$15)*($E$2:$E$55=AB$15))</f>
        <v>2.7381366223775001</v>
      </c>
      <c r="AC20" s="17" cm="1">
        <f t="array" ref="AC20">_xlfn._xlws.FILTER($S$2:$S$55,($C$2:$C$55=$AA20)*($B$2:$B$55=$AA$15)*($E$2:$E$55=AC$15))</f>
        <v>3.4781585611269201</v>
      </c>
      <c r="AD20" s="17" cm="1">
        <f t="array" ref="AD20">_xlfn._xlws.FILTER($S$2:$S$55,($C$2:$C$55=$AA20)*($B$2:$B$55=$AA$15)*($E$2:$E$55=AD$15))</f>
        <v>3.3862868369488401</v>
      </c>
    </row>
    <row r="21" spans="1:30" x14ac:dyDescent="0.25">
      <c r="A21" t="s">
        <v>52</v>
      </c>
      <c r="B21" s="1">
        <v>44986</v>
      </c>
      <c r="C21" t="s">
        <v>25</v>
      </c>
      <c r="D21" t="s">
        <v>22</v>
      </c>
      <c r="E21" s="6" t="s">
        <v>51</v>
      </c>
      <c r="F21" s="7">
        <v>0.27624309392265101</v>
      </c>
      <c r="G21" s="6">
        <v>3.62</v>
      </c>
      <c r="H21" s="6">
        <v>0.2</v>
      </c>
      <c r="I21" s="6">
        <v>0.36</v>
      </c>
      <c r="J21" s="6">
        <v>10</v>
      </c>
      <c r="K21" s="6">
        <v>90</v>
      </c>
      <c r="L21" s="6">
        <v>0.5</v>
      </c>
      <c r="M21" s="6">
        <v>3.5249636252867298E-4</v>
      </c>
      <c r="N21" s="6">
        <v>13574</v>
      </c>
      <c r="O21" s="6">
        <v>3.62</v>
      </c>
      <c r="P21" s="6">
        <v>43.44</v>
      </c>
      <c r="Q21" s="6">
        <v>6.2989146504198401E-2</v>
      </c>
      <c r="R21" s="12">
        <v>3.6290623178763498E-2</v>
      </c>
      <c r="S21">
        <v>3.6290623178763499</v>
      </c>
      <c r="T21">
        <v>0.448751450242794</v>
      </c>
      <c r="V21" s="14"/>
      <c r="Z21">
        <v>6</v>
      </c>
      <c r="AA21" s="16" t="s">
        <v>33</v>
      </c>
      <c r="AB21" s="17" cm="1">
        <f t="array" ref="AB21">_xlfn._xlws.FILTER($S$2:$S$55,($C$2:$C$55=$AA21)*($B$2:$B$55=$AA$15)*($E$2:$E$55=AB$15))</f>
        <v>5.7024778309740896</v>
      </c>
      <c r="AC21" s="17" cm="1">
        <f t="array" ref="AC21">_xlfn._xlws.FILTER($S$2:$S$55,($C$2:$C$55=$AA21)*($B$2:$B$55=$AA$15)*($E$2:$E$55=AC$15))</f>
        <v>4.6724331806071904</v>
      </c>
      <c r="AD21" s="17" cm="1">
        <f t="array" ref="AD21">_xlfn._xlws.FILTER($S$2:$S$55,($C$2:$C$55=$AA21)*($B$2:$B$55=$AA$15)*($E$2:$E$55=AD$15))</f>
        <v>4.7779710080662001</v>
      </c>
    </row>
    <row r="22" spans="1:30" x14ac:dyDescent="0.25">
      <c r="A22" t="s">
        <v>53</v>
      </c>
      <c r="B22" s="1">
        <v>44986</v>
      </c>
      <c r="C22" t="s">
        <v>27</v>
      </c>
      <c r="D22" t="s">
        <v>22</v>
      </c>
      <c r="E22" s="6" t="s">
        <v>51</v>
      </c>
      <c r="F22" s="7">
        <v>0.27624309392265101</v>
      </c>
      <c r="G22" s="6">
        <v>3.62</v>
      </c>
      <c r="H22" s="6">
        <v>0.2</v>
      </c>
      <c r="I22" s="6">
        <v>0.36</v>
      </c>
      <c r="J22" s="6">
        <v>10</v>
      </c>
      <c r="K22" s="6">
        <v>90</v>
      </c>
      <c r="L22" s="6">
        <v>0.5</v>
      </c>
      <c r="M22" s="6">
        <v>3.7623136955250598E-4</v>
      </c>
      <c r="N22" s="6">
        <v>10256</v>
      </c>
      <c r="O22" s="6">
        <v>3.62</v>
      </c>
      <c r="P22" s="6">
        <v>43.44</v>
      </c>
      <c r="Q22" s="6">
        <v>9.0760641344759196E-2</v>
      </c>
      <c r="R22" s="12">
        <v>5.22909170437168E-2</v>
      </c>
      <c r="S22">
        <v>5.2290917043716796</v>
      </c>
      <c r="T22">
        <v>0.90435287871874104</v>
      </c>
      <c r="V22" s="14"/>
      <c r="Z22">
        <v>7</v>
      </c>
      <c r="AA22" s="16" t="s">
        <v>35</v>
      </c>
      <c r="AB22" s="17" cm="1">
        <f t="array" ref="AB22">_xlfn._xlws.FILTER($S$2:$S$55,($C$2:$C$55=$AA22)*($B$2:$B$55=$AA$15)*($E$2:$E$55=AB$15))</f>
        <v>5.4771607408221703</v>
      </c>
      <c r="AC22" s="17" cm="1">
        <f t="array" ref="AC22">_xlfn._xlws.FILTER($S$2:$S$55,($C$2:$C$55=$AA22)*($B$2:$B$55=$AA$15)*($E$2:$E$55=AC$15))</f>
        <v>4.5429364277784101</v>
      </c>
      <c r="AD22" s="17" cm="1">
        <f t="array" ref="AD22">_xlfn._xlws.FILTER($S$2:$S$55,($C$2:$C$55=$AA22)*($B$2:$B$55=$AA$15)*($E$2:$E$55=AD$15))</f>
        <v>4.6318666353781301</v>
      </c>
    </row>
    <row r="23" spans="1:30" x14ac:dyDescent="0.25">
      <c r="A23" t="s">
        <v>54</v>
      </c>
      <c r="B23" s="1">
        <v>44986</v>
      </c>
      <c r="C23" t="s">
        <v>29</v>
      </c>
      <c r="D23" t="s">
        <v>22</v>
      </c>
      <c r="E23" s="6" t="s">
        <v>51</v>
      </c>
      <c r="F23" s="7">
        <v>0.27624309392265101</v>
      </c>
      <c r="G23" s="6">
        <v>3.62</v>
      </c>
      <c r="H23" s="6">
        <v>0.2</v>
      </c>
      <c r="I23" s="6">
        <v>0.36</v>
      </c>
      <c r="J23" s="6">
        <v>10</v>
      </c>
      <c r="K23" s="6">
        <v>90</v>
      </c>
      <c r="L23" s="6">
        <v>0.5</v>
      </c>
      <c r="M23" s="6">
        <v>5.4044651368970501E-4</v>
      </c>
      <c r="N23" s="6">
        <v>9796</v>
      </c>
      <c r="O23" s="6">
        <v>3.62</v>
      </c>
      <c r="P23" s="6">
        <v>43.44</v>
      </c>
      <c r="Q23" s="6">
        <v>9.1649580415023996E-2</v>
      </c>
      <c r="R23" s="12">
        <v>5.2803071194364198E-2</v>
      </c>
      <c r="S23">
        <v>5.2803071194364204</v>
      </c>
      <c r="T23">
        <v>0.93081455123596402</v>
      </c>
      <c r="V23" s="14"/>
      <c r="Z23">
        <v>8</v>
      </c>
      <c r="AA23" s="16" t="s">
        <v>37</v>
      </c>
      <c r="AB23" s="17" cm="1">
        <f t="array" ref="AB23">_xlfn._xlws.FILTER($S$2:$S$55,($C$2:$C$55=$AA23)*($B$2:$B$55=$AA$15)*($E$2:$E$55=AB$15))</f>
        <v>2.7401016289329498</v>
      </c>
      <c r="AC23" s="17" cm="1">
        <f t="array" ref="AC23">_xlfn._xlws.FILTER($S$2:$S$55,($C$2:$C$55=$AA23)*($B$2:$B$55=$AA$15)*($E$2:$E$55=AC$15))</f>
        <v>3.5033760723669198</v>
      </c>
      <c r="AD23" s="17" cm="1">
        <f t="array" ref="AD23">_xlfn._xlws.FILTER($S$2:$S$55,($C$2:$C$55=$AA23)*($B$2:$B$55=$AA$15)*($E$2:$E$55=AD$15))</f>
        <v>3.4258255780879501</v>
      </c>
    </row>
    <row r="24" spans="1:30" x14ac:dyDescent="0.25">
      <c r="A24" t="s">
        <v>55</v>
      </c>
      <c r="B24" s="1">
        <v>44986</v>
      </c>
      <c r="C24" t="s">
        <v>31</v>
      </c>
      <c r="D24" t="s">
        <v>22</v>
      </c>
      <c r="E24" s="6" t="s">
        <v>51</v>
      </c>
      <c r="F24" s="7">
        <v>0.27624309392265101</v>
      </c>
      <c r="G24" s="6">
        <v>3.62</v>
      </c>
      <c r="H24" s="6">
        <v>0.2</v>
      </c>
      <c r="I24" s="6">
        <v>0.36</v>
      </c>
      <c r="J24" s="6">
        <v>10</v>
      </c>
      <c r="K24" s="6">
        <v>90</v>
      </c>
      <c r="L24" s="6">
        <v>0.5</v>
      </c>
      <c r="M24" s="6">
        <v>4.2064646353290699E-4</v>
      </c>
      <c r="N24" s="6">
        <v>13832</v>
      </c>
      <c r="O24" s="6">
        <v>3.62</v>
      </c>
      <c r="P24" s="6">
        <v>43.44</v>
      </c>
      <c r="Q24" s="6">
        <v>6.2057033306724199E-2</v>
      </c>
      <c r="R24" s="12">
        <v>3.5753594647868397E-2</v>
      </c>
      <c r="S24">
        <v>3.5753594647868399</v>
      </c>
      <c r="T24">
        <v>0.42917368931288502</v>
      </c>
      <c r="V24" s="14"/>
      <c r="Z24">
        <v>9</v>
      </c>
      <c r="AA24" s="16" t="s">
        <v>39</v>
      </c>
      <c r="AB24" s="17" cm="1">
        <f t="array" ref="AB24">_xlfn._xlws.FILTER($S$2:$S$55,($C$2:$C$55=$AA24)*($B$2:$B$55=$AA$15)*($E$2:$E$55=AB$15))</f>
        <v>5.6583676966905596</v>
      </c>
      <c r="AC24" s="17" cm="1">
        <f t="array" ref="AC24">_xlfn._xlws.FILTER($S$2:$S$55,($C$2:$C$55=$AA24)*($B$2:$B$55=$AA$15)*($E$2:$E$55=AC$15))</f>
        <v>4.6648570240426901</v>
      </c>
      <c r="AD24" s="17" cm="1">
        <f t="array" ref="AD24">_xlfn._xlws.FILTER($S$2:$S$55,($C$2:$C$55=$AA24)*($B$2:$B$55=$AA$15)*($E$2:$E$55=AD$15))</f>
        <v>4.7777218078706101</v>
      </c>
    </row>
    <row r="25" spans="1:30" x14ac:dyDescent="0.25">
      <c r="A25" t="s">
        <v>56</v>
      </c>
      <c r="B25" s="1">
        <v>44986</v>
      </c>
      <c r="C25" t="s">
        <v>33</v>
      </c>
      <c r="D25" t="s">
        <v>22</v>
      </c>
      <c r="E25" s="6" t="s">
        <v>51</v>
      </c>
      <c r="F25" s="7">
        <v>0.27624309392265101</v>
      </c>
      <c r="G25" s="6">
        <v>3.62</v>
      </c>
      <c r="H25" s="6">
        <v>0.2</v>
      </c>
      <c r="I25" s="6">
        <v>0.36</v>
      </c>
      <c r="J25" s="6">
        <v>10</v>
      </c>
      <c r="K25" s="6">
        <v>90</v>
      </c>
      <c r="L25" s="6">
        <v>0.5</v>
      </c>
      <c r="M25" s="6">
        <v>4.4164905546093902E-4</v>
      </c>
      <c r="N25" s="6">
        <v>10454</v>
      </c>
      <c r="O25" s="6">
        <v>3.62</v>
      </c>
      <c r="P25" s="6">
        <v>43.44</v>
      </c>
      <c r="Q25" s="6">
        <v>9.1949873977954899E-2</v>
      </c>
      <c r="R25" s="12">
        <v>5.2976082596171398E-2</v>
      </c>
      <c r="S25">
        <v>5.2976082596171397</v>
      </c>
      <c r="T25">
        <v>0.88115581211899296</v>
      </c>
      <c r="V25" s="14"/>
      <c r="AA25" s="16"/>
      <c r="AB25" s="17">
        <f>AVERAGE(AB16:AB24)</f>
        <v>4.6560071298197805</v>
      </c>
      <c r="AC25" s="17">
        <f>AVERAGE(AC16:AC24)</f>
        <v>4.2399595650513371</v>
      </c>
      <c r="AD25" s="17">
        <f>AVERAGE(AD16:AD24)</f>
        <v>4.2769259937799378</v>
      </c>
    </row>
    <row r="26" spans="1:30" x14ac:dyDescent="0.25">
      <c r="A26" t="s">
        <v>57</v>
      </c>
      <c r="B26" s="1">
        <v>44986</v>
      </c>
      <c r="C26" t="s">
        <v>35</v>
      </c>
      <c r="D26" t="s">
        <v>22</v>
      </c>
      <c r="E26" s="6" t="s">
        <v>51</v>
      </c>
      <c r="F26" s="7">
        <v>0.27624309392265101</v>
      </c>
      <c r="G26" s="6">
        <v>3.62</v>
      </c>
      <c r="H26" s="6">
        <v>0.2</v>
      </c>
      <c r="I26" s="6">
        <v>0.36</v>
      </c>
      <c r="J26" s="6">
        <v>10</v>
      </c>
      <c r="K26" s="6">
        <v>90</v>
      </c>
      <c r="L26" s="6">
        <v>0.5</v>
      </c>
      <c r="M26" s="6">
        <v>5.8663931213751605E-4</v>
      </c>
      <c r="N26" s="6">
        <v>9908</v>
      </c>
      <c r="O26" s="6">
        <v>3.62</v>
      </c>
      <c r="P26" s="6">
        <v>43.44</v>
      </c>
      <c r="Q26" s="6">
        <v>9.0790800773293906E-2</v>
      </c>
      <c r="R26" s="12">
        <v>5.2308293123835101E-2</v>
      </c>
      <c r="S26">
        <v>5.2308293123835101</v>
      </c>
      <c r="T26">
        <v>0.92698160924101602</v>
      </c>
      <c r="V26" s="14"/>
      <c r="AB26" s="18">
        <f>AB25/AC25</f>
        <v>1.0981253614298103</v>
      </c>
      <c r="AC26" s="18"/>
      <c r="AD26" s="18">
        <f>AD25/AC25</f>
        <v>1.0087185804867818</v>
      </c>
    </row>
    <row r="27" spans="1:30" x14ac:dyDescent="0.25">
      <c r="A27" t="s">
        <v>58</v>
      </c>
      <c r="B27" s="1">
        <v>44986</v>
      </c>
      <c r="C27" t="s">
        <v>37</v>
      </c>
      <c r="D27" t="s">
        <v>22</v>
      </c>
      <c r="E27" s="6" t="s">
        <v>51</v>
      </c>
      <c r="F27" s="7">
        <v>0.27624309392265101</v>
      </c>
      <c r="G27" s="6">
        <v>3.62</v>
      </c>
      <c r="H27" s="6">
        <v>0.2</v>
      </c>
      <c r="I27" s="6">
        <v>0.36</v>
      </c>
      <c r="J27" s="6">
        <v>10</v>
      </c>
      <c r="K27" s="6">
        <v>90</v>
      </c>
      <c r="L27" s="6">
        <v>0.5</v>
      </c>
      <c r="M27" s="6">
        <v>4.6138756539358802E-4</v>
      </c>
      <c r="N27" s="6">
        <v>14039</v>
      </c>
      <c r="O27" s="6">
        <v>3.62</v>
      </c>
      <c r="P27" s="6">
        <v>43.44</v>
      </c>
      <c r="Q27" s="6">
        <v>6.4417874013159696E-2</v>
      </c>
      <c r="R27" s="12">
        <v>3.71137715230484E-2</v>
      </c>
      <c r="S27">
        <v>3.71137715230484</v>
      </c>
      <c r="T27">
        <v>0.41076781067969598</v>
      </c>
      <c r="V27" s="14"/>
    </row>
    <row r="28" spans="1:30" x14ac:dyDescent="0.25">
      <c r="A28" t="s">
        <v>59</v>
      </c>
      <c r="B28" s="1">
        <v>44986</v>
      </c>
      <c r="C28" t="s">
        <v>39</v>
      </c>
      <c r="D28" t="s">
        <v>22</v>
      </c>
      <c r="E28" s="6" t="s">
        <v>51</v>
      </c>
      <c r="F28" s="7">
        <v>0.27624309392265101</v>
      </c>
      <c r="G28" s="6">
        <v>3.62</v>
      </c>
      <c r="H28" s="6">
        <v>0.2</v>
      </c>
      <c r="I28" s="6">
        <v>0.36</v>
      </c>
      <c r="J28" s="6">
        <v>10</v>
      </c>
      <c r="K28" s="6">
        <v>90</v>
      </c>
      <c r="L28" s="6">
        <v>0.5</v>
      </c>
      <c r="M28" s="6">
        <v>5.0942423284867997E-4</v>
      </c>
      <c r="N28" s="6">
        <v>10439</v>
      </c>
      <c r="O28" s="6">
        <v>3.62</v>
      </c>
      <c r="P28" s="6">
        <v>43.44</v>
      </c>
      <c r="Q28" s="6">
        <v>9.5102372349201297E-2</v>
      </c>
      <c r="R28" s="12">
        <v>5.4792365826091802E-2</v>
      </c>
      <c r="S28">
        <v>5.4792365826091798</v>
      </c>
      <c r="T28">
        <v>0.89254648107233603</v>
      </c>
      <c r="V28" s="14"/>
    </row>
    <row r="29" spans="1:30" x14ac:dyDescent="0.25">
      <c r="A29" t="s">
        <v>60</v>
      </c>
      <c r="B29" s="1">
        <v>46018</v>
      </c>
      <c r="C29" t="s">
        <v>21</v>
      </c>
      <c r="D29" t="s">
        <v>61</v>
      </c>
      <c r="E29" s="2" t="s">
        <v>23</v>
      </c>
      <c r="F29" s="3">
        <v>0.33222591362126203</v>
      </c>
      <c r="G29" s="2">
        <v>3.01</v>
      </c>
      <c r="H29" s="2">
        <v>0.28000000000000003</v>
      </c>
      <c r="I29" s="2">
        <v>0.38</v>
      </c>
      <c r="J29" s="2">
        <v>10</v>
      </c>
      <c r="K29" s="2">
        <v>90</v>
      </c>
      <c r="L29" s="2">
        <v>0.5</v>
      </c>
      <c r="M29" s="2">
        <v>1.8334410273240299E-4</v>
      </c>
      <c r="N29" s="2">
        <v>35302</v>
      </c>
      <c r="O29" s="2">
        <v>3.01</v>
      </c>
      <c r="P29" s="2">
        <v>36.119999999999997</v>
      </c>
      <c r="Q29" s="2">
        <v>9.6762422086917904E-2</v>
      </c>
      <c r="R29" s="10">
        <v>4.6354655519838903E-2</v>
      </c>
      <c r="S29">
        <v>4.6354655519838897</v>
      </c>
      <c r="T29">
        <v>0.99605545723636502</v>
      </c>
      <c r="V29" s="14">
        <f>AVERAGE(R29:R37)</f>
        <v>4.2399595650513364E-2</v>
      </c>
    </row>
    <row r="30" spans="1:30" x14ac:dyDescent="0.25">
      <c r="A30" t="s">
        <v>62</v>
      </c>
      <c r="B30" s="1">
        <v>46018</v>
      </c>
      <c r="C30" t="s">
        <v>25</v>
      </c>
      <c r="D30" t="s">
        <v>61</v>
      </c>
      <c r="E30" s="2" t="s">
        <v>23</v>
      </c>
      <c r="F30" s="3">
        <v>0.33222591362126203</v>
      </c>
      <c r="G30" s="2">
        <v>3.01</v>
      </c>
      <c r="H30" s="2">
        <v>0.28000000000000003</v>
      </c>
      <c r="I30" s="2">
        <v>0.38</v>
      </c>
      <c r="J30" s="2">
        <v>10</v>
      </c>
      <c r="K30" s="2">
        <v>90</v>
      </c>
      <c r="L30" s="2">
        <v>0.5</v>
      </c>
      <c r="M30" s="2">
        <v>2.04664527327052E-4</v>
      </c>
      <c r="N30" s="2">
        <v>35384</v>
      </c>
      <c r="O30" s="2">
        <v>3.01</v>
      </c>
      <c r="P30" s="2">
        <v>36.119999999999997</v>
      </c>
      <c r="Q30" s="2">
        <v>7.3023847309479598E-2</v>
      </c>
      <c r="R30" s="10">
        <v>3.4982539851303299E-2</v>
      </c>
      <c r="S30">
        <v>3.4982539851303298</v>
      </c>
      <c r="T30">
        <v>0.99506371951523898</v>
      </c>
      <c r="V30" s="14"/>
    </row>
    <row r="31" spans="1:30" x14ac:dyDescent="0.25">
      <c r="A31" t="s">
        <v>63</v>
      </c>
      <c r="B31" s="1">
        <v>46018</v>
      </c>
      <c r="C31" t="s">
        <v>27</v>
      </c>
      <c r="D31" t="s">
        <v>61</v>
      </c>
      <c r="E31" s="2" t="s">
        <v>23</v>
      </c>
      <c r="F31" s="3">
        <v>0.33222591362126203</v>
      </c>
      <c r="G31" s="2">
        <v>3.01</v>
      </c>
      <c r="H31" s="2">
        <v>0.28000000000000003</v>
      </c>
      <c r="I31" s="2">
        <v>0.38</v>
      </c>
      <c r="J31" s="2">
        <v>10</v>
      </c>
      <c r="K31" s="2">
        <v>90</v>
      </c>
      <c r="L31" s="2">
        <v>0.5</v>
      </c>
      <c r="M31" s="2">
        <v>1.60985142610187E-4</v>
      </c>
      <c r="N31" s="2">
        <v>35967</v>
      </c>
      <c r="O31" s="2">
        <v>3.01</v>
      </c>
      <c r="P31" s="2">
        <v>36.119999999999997</v>
      </c>
      <c r="Q31" s="2">
        <v>9.6664181737923502E-2</v>
      </c>
      <c r="R31" s="10">
        <v>4.6307592854006797E-2</v>
      </c>
      <c r="S31">
        <v>4.6307592854006803</v>
      </c>
      <c r="T31">
        <v>0.99633466233322099</v>
      </c>
      <c r="V31" s="14"/>
    </row>
    <row r="32" spans="1:30" x14ac:dyDescent="0.25">
      <c r="A32" t="s">
        <v>64</v>
      </c>
      <c r="B32" s="1">
        <v>46018</v>
      </c>
      <c r="C32" t="s">
        <v>29</v>
      </c>
      <c r="D32" t="s">
        <v>61</v>
      </c>
      <c r="E32" s="2" t="s">
        <v>23</v>
      </c>
      <c r="F32" s="3">
        <v>0.33222591362126203</v>
      </c>
      <c r="G32" s="2">
        <v>3.01</v>
      </c>
      <c r="H32" s="2">
        <v>0.28000000000000003</v>
      </c>
      <c r="I32" s="2">
        <v>0.38</v>
      </c>
      <c r="J32" s="2">
        <v>10</v>
      </c>
      <c r="K32" s="2">
        <v>90</v>
      </c>
      <c r="L32" s="2">
        <v>0.5</v>
      </c>
      <c r="M32" s="2">
        <v>2.1255167459501801E-4</v>
      </c>
      <c r="N32" s="2">
        <v>35445</v>
      </c>
      <c r="O32" s="2">
        <v>3.01</v>
      </c>
      <c r="P32" s="2">
        <v>36.119999999999997</v>
      </c>
      <c r="Q32" s="2">
        <v>9.4631784452273202E-2</v>
      </c>
      <c r="R32" s="10">
        <v>4.5333959970249998E-2</v>
      </c>
      <c r="S32">
        <v>4.533395997025</v>
      </c>
      <c r="T32">
        <v>0.99644130728506097</v>
      </c>
      <c r="V32" s="14"/>
    </row>
    <row r="33" spans="1:27" x14ac:dyDescent="0.25">
      <c r="A33" t="s">
        <v>65</v>
      </c>
      <c r="B33" s="1">
        <v>46018</v>
      </c>
      <c r="C33" t="s">
        <v>31</v>
      </c>
      <c r="D33" t="s">
        <v>61</v>
      </c>
      <c r="E33" s="2" t="s">
        <v>23</v>
      </c>
      <c r="F33" s="3">
        <v>0.33222591362126203</v>
      </c>
      <c r="G33" s="2">
        <v>3.01</v>
      </c>
      <c r="H33" s="2">
        <v>0.28000000000000003</v>
      </c>
      <c r="I33" s="2">
        <v>0.38</v>
      </c>
      <c r="J33" s="2">
        <v>10</v>
      </c>
      <c r="K33" s="2">
        <v>90</v>
      </c>
      <c r="L33" s="2">
        <v>0.5</v>
      </c>
      <c r="M33" s="2">
        <v>2.5015480830075401E-4</v>
      </c>
      <c r="N33" s="2">
        <v>35360</v>
      </c>
      <c r="O33" s="2">
        <v>3.01</v>
      </c>
      <c r="P33" s="2">
        <v>36.119999999999997</v>
      </c>
      <c r="Q33" s="2">
        <v>7.2604367997719604E-2</v>
      </c>
      <c r="R33" s="10">
        <v>3.4781585611269199E-2</v>
      </c>
      <c r="S33">
        <v>3.4781585611269201</v>
      </c>
      <c r="T33">
        <v>0.99518022011067597</v>
      </c>
      <c r="V33" s="14"/>
    </row>
    <row r="34" spans="1:27" x14ac:dyDescent="0.25">
      <c r="A34" t="s">
        <v>66</v>
      </c>
      <c r="B34" s="1">
        <v>46018</v>
      </c>
      <c r="C34" t="s">
        <v>33</v>
      </c>
      <c r="D34" t="s">
        <v>61</v>
      </c>
      <c r="E34" s="2" t="s">
        <v>23</v>
      </c>
      <c r="F34" s="3">
        <v>0.33222591362126203</v>
      </c>
      <c r="G34" s="2">
        <v>3.01</v>
      </c>
      <c r="H34" s="2">
        <v>0.28000000000000003</v>
      </c>
      <c r="I34" s="2">
        <v>0.38</v>
      </c>
      <c r="J34" s="2">
        <v>10</v>
      </c>
      <c r="K34" s="2">
        <v>90</v>
      </c>
      <c r="L34" s="2">
        <v>0.5</v>
      </c>
      <c r="M34" s="2">
        <v>1.9238163442356299E-4</v>
      </c>
      <c r="N34" s="2">
        <v>36012</v>
      </c>
      <c r="O34" s="2">
        <v>3.01</v>
      </c>
      <c r="P34" s="2">
        <v>36.119999999999997</v>
      </c>
      <c r="Q34" s="2">
        <v>9.75340980371079E-2</v>
      </c>
      <c r="R34" s="10">
        <v>4.6724331806071898E-2</v>
      </c>
      <c r="S34">
        <v>4.6724331806071904</v>
      </c>
      <c r="T34">
        <v>0.99625141411462603</v>
      </c>
      <c r="V34" s="14"/>
      <c r="AA34" t="s">
        <v>88</v>
      </c>
    </row>
    <row r="35" spans="1:27" x14ac:dyDescent="0.25">
      <c r="A35" t="s">
        <v>67</v>
      </c>
      <c r="B35" s="1">
        <v>46018</v>
      </c>
      <c r="C35" t="s">
        <v>35</v>
      </c>
      <c r="D35" t="s">
        <v>61</v>
      </c>
      <c r="E35" s="2" t="s">
        <v>23</v>
      </c>
      <c r="F35" s="3">
        <v>0.33222591362126203</v>
      </c>
      <c r="G35" s="2">
        <v>3.01</v>
      </c>
      <c r="H35" s="2">
        <v>0.28000000000000003</v>
      </c>
      <c r="I35" s="2">
        <v>0.38</v>
      </c>
      <c r="J35" s="2">
        <v>10</v>
      </c>
      <c r="K35" s="2">
        <v>90</v>
      </c>
      <c r="L35" s="2">
        <v>0.5</v>
      </c>
      <c r="M35" s="2">
        <v>2.33989905484301E-4</v>
      </c>
      <c r="N35" s="2">
        <v>35623</v>
      </c>
      <c r="O35" s="2">
        <v>3.01</v>
      </c>
      <c r="P35" s="2">
        <v>36.119999999999997</v>
      </c>
      <c r="Q35" s="2">
        <v>9.4830934931788194E-2</v>
      </c>
      <c r="R35" s="10">
        <v>4.5429364277784101E-2</v>
      </c>
      <c r="S35">
        <v>4.5429364277784101</v>
      </c>
      <c r="T35">
        <v>0.99635363161895996</v>
      </c>
      <c r="V35" s="14"/>
      <c r="AA35" t="s">
        <v>89</v>
      </c>
    </row>
    <row r="36" spans="1:27" x14ac:dyDescent="0.25">
      <c r="A36" t="s">
        <v>68</v>
      </c>
      <c r="B36" s="1">
        <v>46018</v>
      </c>
      <c r="C36" t="s">
        <v>37</v>
      </c>
      <c r="D36" t="s">
        <v>61</v>
      </c>
      <c r="E36" s="2" t="s">
        <v>23</v>
      </c>
      <c r="F36" s="3">
        <v>0.33222591362126203</v>
      </c>
      <c r="G36" s="2">
        <v>3.01</v>
      </c>
      <c r="H36" s="2">
        <v>0.28000000000000003</v>
      </c>
      <c r="I36" s="2">
        <v>0.38</v>
      </c>
      <c r="J36" s="2">
        <v>10</v>
      </c>
      <c r="K36" s="2">
        <v>90</v>
      </c>
      <c r="L36" s="2">
        <v>0.5</v>
      </c>
      <c r="M36" s="2">
        <v>2.77401529065068E-4</v>
      </c>
      <c r="N36" s="2">
        <v>35496</v>
      </c>
      <c r="O36" s="2">
        <v>3.01</v>
      </c>
      <c r="P36" s="2">
        <v>36.119999999999997</v>
      </c>
      <c r="Q36" s="2">
        <v>7.3130767652559395E-2</v>
      </c>
      <c r="R36" s="10">
        <v>3.5033760723669198E-2</v>
      </c>
      <c r="S36">
        <v>3.5033760723669198</v>
      </c>
      <c r="T36">
        <v>0.99464839998606802</v>
      </c>
      <c r="V36" s="14"/>
    </row>
    <row r="37" spans="1:27" x14ac:dyDescent="0.25">
      <c r="A37" t="s">
        <v>69</v>
      </c>
      <c r="B37" s="1">
        <v>46018</v>
      </c>
      <c r="C37" t="s">
        <v>39</v>
      </c>
      <c r="D37" t="s">
        <v>61</v>
      </c>
      <c r="E37" s="2" t="s">
        <v>23</v>
      </c>
      <c r="F37" s="3">
        <v>0.33222591362126203</v>
      </c>
      <c r="G37" s="2">
        <v>3.01</v>
      </c>
      <c r="H37" s="2">
        <v>0.28000000000000003</v>
      </c>
      <c r="I37" s="2">
        <v>0.38</v>
      </c>
      <c r="J37" s="2">
        <v>10</v>
      </c>
      <c r="K37" s="2">
        <v>90</v>
      </c>
      <c r="L37" s="2">
        <v>0.5</v>
      </c>
      <c r="M37" s="2">
        <v>2.20830581240802E-4</v>
      </c>
      <c r="N37" s="2">
        <v>36057</v>
      </c>
      <c r="O37" s="2">
        <v>3.01</v>
      </c>
      <c r="P37" s="2">
        <v>36.119999999999997</v>
      </c>
      <c r="Q37" s="2">
        <v>9.7375950543383799E-2</v>
      </c>
      <c r="R37" s="10">
        <v>4.6648570240426901E-2</v>
      </c>
      <c r="S37">
        <v>4.6648570240426901</v>
      </c>
      <c r="T37">
        <v>0.99605784582074697</v>
      </c>
      <c r="V37" s="14"/>
    </row>
    <row r="38" spans="1:27" x14ac:dyDescent="0.25">
      <c r="A38" t="s">
        <v>70</v>
      </c>
      <c r="B38" s="1">
        <v>46018</v>
      </c>
      <c r="C38" t="s">
        <v>21</v>
      </c>
      <c r="D38" t="s">
        <v>61</v>
      </c>
      <c r="E38" s="2" t="s">
        <v>41</v>
      </c>
      <c r="F38" s="3">
        <v>0.33222591362126203</v>
      </c>
      <c r="G38" s="2">
        <v>3.01</v>
      </c>
      <c r="H38" s="2">
        <v>0.3</v>
      </c>
      <c r="I38" s="2">
        <v>0.36</v>
      </c>
      <c r="J38" s="2">
        <v>10</v>
      </c>
      <c r="K38" s="2">
        <v>90</v>
      </c>
      <c r="L38" s="2">
        <v>0.5</v>
      </c>
      <c r="M38" s="2">
        <v>1.7329483256143399E-4</v>
      </c>
      <c r="N38" s="2">
        <v>35331</v>
      </c>
      <c r="O38" s="2">
        <v>3.01</v>
      </c>
      <c r="P38" s="2">
        <v>36.119999999999997</v>
      </c>
      <c r="Q38" s="2">
        <v>0.118482862766965</v>
      </c>
      <c r="R38" s="10">
        <v>5.6759971175933899E-2</v>
      </c>
      <c r="S38">
        <v>5.6759971175933899</v>
      </c>
      <c r="T38">
        <v>0.96284094598043402</v>
      </c>
      <c r="V38" s="14"/>
    </row>
    <row r="39" spans="1:27" x14ac:dyDescent="0.25">
      <c r="A39" t="s">
        <v>71</v>
      </c>
      <c r="B39" s="1">
        <v>46018</v>
      </c>
      <c r="C39" t="s">
        <v>25</v>
      </c>
      <c r="D39" t="s">
        <v>61</v>
      </c>
      <c r="E39" s="4" t="s">
        <v>41</v>
      </c>
      <c r="F39" s="5">
        <v>0.33222591362126203</v>
      </c>
      <c r="G39" s="4">
        <v>3.01</v>
      </c>
      <c r="H39" s="4">
        <v>0.3</v>
      </c>
      <c r="I39" s="4">
        <v>0.36</v>
      </c>
      <c r="J39" s="4">
        <v>10</v>
      </c>
      <c r="K39" s="4">
        <v>90</v>
      </c>
      <c r="L39" s="4">
        <v>0.5</v>
      </c>
      <c r="M39" s="4">
        <v>1.8643987589637899E-4</v>
      </c>
      <c r="N39" s="4">
        <v>36480</v>
      </c>
      <c r="O39" s="4">
        <v>3.01</v>
      </c>
      <c r="P39" s="4">
        <v>36.119999999999997</v>
      </c>
      <c r="Q39" s="4">
        <v>5.7252534306686698E-2</v>
      </c>
      <c r="R39" s="11">
        <v>2.7427191756737E-2</v>
      </c>
      <c r="S39">
        <v>2.7427191756737002</v>
      </c>
      <c r="T39">
        <v>0.98828961173838104</v>
      </c>
      <c r="V39" s="14">
        <f>AVERAGE(R39:R47)</f>
        <v>4.548928748474812E-2</v>
      </c>
    </row>
    <row r="40" spans="1:27" x14ac:dyDescent="0.25">
      <c r="A40" t="s">
        <v>72</v>
      </c>
      <c r="B40" s="1">
        <v>46018</v>
      </c>
      <c r="C40" t="s">
        <v>27</v>
      </c>
      <c r="D40" t="s">
        <v>61</v>
      </c>
      <c r="E40" s="4" t="s">
        <v>41</v>
      </c>
      <c r="F40" s="5">
        <v>0.33222591362126203</v>
      </c>
      <c r="G40" s="4">
        <v>3.01</v>
      </c>
      <c r="H40" s="4">
        <v>0.3</v>
      </c>
      <c r="I40" s="4">
        <v>0.36</v>
      </c>
      <c r="J40" s="4">
        <v>10</v>
      </c>
      <c r="K40" s="4">
        <v>90</v>
      </c>
      <c r="L40" s="4">
        <v>0.5</v>
      </c>
      <c r="M40" s="4">
        <v>1.52145968785735E-4</v>
      </c>
      <c r="N40" s="4">
        <v>35771</v>
      </c>
      <c r="O40" s="4">
        <v>3.01</v>
      </c>
      <c r="P40" s="4">
        <v>36.119999999999997</v>
      </c>
      <c r="Q40" s="4">
        <v>0.118081938947772</v>
      </c>
      <c r="R40" s="11">
        <v>5.6567906062974502E-2</v>
      </c>
      <c r="S40">
        <v>5.6567906062974496</v>
      </c>
      <c r="T40">
        <v>0.96357320552802095</v>
      </c>
      <c r="V40" s="14"/>
    </row>
    <row r="41" spans="1:27" x14ac:dyDescent="0.25">
      <c r="A41" t="s">
        <v>73</v>
      </c>
      <c r="B41" s="1">
        <v>46018</v>
      </c>
      <c r="C41" t="s">
        <v>29</v>
      </c>
      <c r="D41" t="s">
        <v>61</v>
      </c>
      <c r="E41" s="4" t="s">
        <v>41</v>
      </c>
      <c r="F41" s="5">
        <v>0.33222591362126203</v>
      </c>
      <c r="G41" s="4">
        <v>3.01</v>
      </c>
      <c r="H41" s="4">
        <v>0.3</v>
      </c>
      <c r="I41" s="4">
        <v>0.36</v>
      </c>
      <c r="J41" s="4">
        <v>10</v>
      </c>
      <c r="K41" s="4">
        <v>90</v>
      </c>
      <c r="L41" s="4">
        <v>0.5</v>
      </c>
      <c r="M41" s="4">
        <v>2.01028395288264E-4</v>
      </c>
      <c r="N41" s="4">
        <v>35465</v>
      </c>
      <c r="O41" s="4">
        <v>3.01</v>
      </c>
      <c r="P41" s="4">
        <v>36.119999999999997</v>
      </c>
      <c r="Q41" s="4">
        <v>0.11506605472823001</v>
      </c>
      <c r="R41" s="11">
        <v>5.5123127490162099E-2</v>
      </c>
      <c r="S41">
        <v>5.5123127490162096</v>
      </c>
      <c r="T41">
        <v>0.96502817562280296</v>
      </c>
      <c r="V41" s="14"/>
    </row>
    <row r="42" spans="1:27" x14ac:dyDescent="0.25">
      <c r="A42" t="s">
        <v>74</v>
      </c>
      <c r="B42" s="1">
        <v>46018</v>
      </c>
      <c r="C42" t="s">
        <v>31</v>
      </c>
      <c r="D42" t="s">
        <v>61</v>
      </c>
      <c r="E42" s="4" t="s">
        <v>41</v>
      </c>
      <c r="F42" s="5">
        <v>0.33222591362126203</v>
      </c>
      <c r="G42" s="4">
        <v>3.01</v>
      </c>
      <c r="H42" s="4">
        <v>0.3</v>
      </c>
      <c r="I42" s="4">
        <v>0.36</v>
      </c>
      <c r="J42" s="4">
        <v>10</v>
      </c>
      <c r="K42" s="4">
        <v>90</v>
      </c>
      <c r="L42" s="4">
        <v>0.5</v>
      </c>
      <c r="M42" s="4">
        <v>2.2801961257516801E-4</v>
      </c>
      <c r="N42" s="4">
        <v>36415</v>
      </c>
      <c r="O42" s="4">
        <v>3.01</v>
      </c>
      <c r="P42" s="4">
        <v>36.119999999999997</v>
      </c>
      <c r="Q42" s="4">
        <v>5.7156876394593499E-2</v>
      </c>
      <c r="R42" s="11">
        <v>2.7381366223774999E-2</v>
      </c>
      <c r="S42">
        <v>2.7381366223775001</v>
      </c>
      <c r="T42">
        <v>0.988221695521871</v>
      </c>
      <c r="V42" s="14"/>
    </row>
    <row r="43" spans="1:27" x14ac:dyDescent="0.25">
      <c r="A43" t="s">
        <v>75</v>
      </c>
      <c r="B43" s="1">
        <v>46018</v>
      </c>
      <c r="C43" t="s">
        <v>33</v>
      </c>
      <c r="D43" t="s">
        <v>61</v>
      </c>
      <c r="E43" s="4" t="s">
        <v>41</v>
      </c>
      <c r="F43" s="5">
        <v>0.33222591362126203</v>
      </c>
      <c r="G43" s="4">
        <v>3.01</v>
      </c>
      <c r="H43" s="4">
        <v>0.3</v>
      </c>
      <c r="I43" s="4">
        <v>0.36</v>
      </c>
      <c r="J43" s="4">
        <v>10</v>
      </c>
      <c r="K43" s="4">
        <v>90</v>
      </c>
      <c r="L43" s="4">
        <v>0.5</v>
      </c>
      <c r="M43" s="4">
        <v>1.8184490382198399E-4</v>
      </c>
      <c r="N43" s="4">
        <v>35862</v>
      </c>
      <c r="O43" s="4">
        <v>3.01</v>
      </c>
      <c r="P43" s="4">
        <v>36.119999999999997</v>
      </c>
      <c r="Q43" s="4">
        <v>0.119035630970411</v>
      </c>
      <c r="R43" s="11">
        <v>5.7024778309740898E-2</v>
      </c>
      <c r="S43">
        <v>5.7024778309740896</v>
      </c>
      <c r="T43">
        <v>0.96259565794228996</v>
      </c>
      <c r="V43" s="14"/>
    </row>
    <row r="44" spans="1:27" x14ac:dyDescent="0.25">
      <c r="A44" t="s">
        <v>76</v>
      </c>
      <c r="B44" s="1">
        <v>46018</v>
      </c>
      <c r="C44" t="s">
        <v>35</v>
      </c>
      <c r="D44" t="s">
        <v>61</v>
      </c>
      <c r="E44" s="4" t="s">
        <v>41</v>
      </c>
      <c r="F44" s="5">
        <v>0.33222591362126203</v>
      </c>
      <c r="G44" s="4">
        <v>3.01</v>
      </c>
      <c r="H44" s="4">
        <v>0.3</v>
      </c>
      <c r="I44" s="4">
        <v>0.36</v>
      </c>
      <c r="J44" s="4">
        <v>10</v>
      </c>
      <c r="K44" s="4">
        <v>90</v>
      </c>
      <c r="L44" s="4">
        <v>0.5</v>
      </c>
      <c r="M44" s="4">
        <v>2.21359089561255E-4</v>
      </c>
      <c r="N44" s="4">
        <v>35663</v>
      </c>
      <c r="O44" s="4">
        <v>3.01</v>
      </c>
      <c r="P44" s="4">
        <v>36.119999999999997</v>
      </c>
      <c r="Q44" s="4">
        <v>0.114332278710281</v>
      </c>
      <c r="R44" s="11">
        <v>5.4771607408221699E-2</v>
      </c>
      <c r="S44">
        <v>5.4771607408221703</v>
      </c>
      <c r="T44">
        <v>0.96566252891131898</v>
      </c>
      <c r="V44" s="14"/>
    </row>
    <row r="45" spans="1:27" x14ac:dyDescent="0.25">
      <c r="A45" t="s">
        <v>77</v>
      </c>
      <c r="B45" s="1">
        <v>46018</v>
      </c>
      <c r="C45" t="s">
        <v>37</v>
      </c>
      <c r="D45" t="s">
        <v>61</v>
      </c>
      <c r="E45" s="4" t="s">
        <v>41</v>
      </c>
      <c r="F45" s="5">
        <v>0.33222591362126203</v>
      </c>
      <c r="G45" s="4">
        <v>3.01</v>
      </c>
      <c r="H45" s="4">
        <v>0.3</v>
      </c>
      <c r="I45" s="4">
        <v>0.36</v>
      </c>
      <c r="J45" s="4">
        <v>10</v>
      </c>
      <c r="K45" s="4">
        <v>90</v>
      </c>
      <c r="L45" s="4">
        <v>0.5</v>
      </c>
      <c r="M45" s="4">
        <v>2.5307646103851599E-4</v>
      </c>
      <c r="N45" s="4">
        <v>36559</v>
      </c>
      <c r="O45" s="4">
        <v>3.01</v>
      </c>
      <c r="P45" s="4">
        <v>36.119999999999997</v>
      </c>
      <c r="Q45" s="4">
        <v>5.7197894668074303E-2</v>
      </c>
      <c r="R45" s="11">
        <v>2.7401016289329502E-2</v>
      </c>
      <c r="S45">
        <v>2.7401016289329498</v>
      </c>
      <c r="T45">
        <v>0.98762587975679395</v>
      </c>
      <c r="V45" s="14"/>
    </row>
    <row r="46" spans="1:27" x14ac:dyDescent="0.25">
      <c r="A46" t="s">
        <v>78</v>
      </c>
      <c r="B46" s="1">
        <v>46018</v>
      </c>
      <c r="C46" t="s">
        <v>39</v>
      </c>
      <c r="D46" t="s">
        <v>61</v>
      </c>
      <c r="E46" s="4" t="s">
        <v>41</v>
      </c>
      <c r="F46" s="5">
        <v>0.33222591362126203</v>
      </c>
      <c r="G46" s="4">
        <v>3.01</v>
      </c>
      <c r="H46" s="4">
        <v>0.3</v>
      </c>
      <c r="I46" s="4">
        <v>0.36</v>
      </c>
      <c r="J46" s="4">
        <v>10</v>
      </c>
      <c r="K46" s="4">
        <v>90</v>
      </c>
      <c r="L46" s="4">
        <v>0.5</v>
      </c>
      <c r="M46" s="4">
        <v>2.0898826950884199E-4</v>
      </c>
      <c r="N46" s="4">
        <v>35922</v>
      </c>
      <c r="O46" s="4">
        <v>3.01</v>
      </c>
      <c r="P46" s="4">
        <v>36.119999999999997</v>
      </c>
      <c r="Q46" s="4">
        <v>0.11811485971583301</v>
      </c>
      <c r="R46" s="11">
        <v>5.6583676966905597E-2</v>
      </c>
      <c r="S46">
        <v>5.6583676966905596</v>
      </c>
      <c r="T46">
        <v>0.962623329197692</v>
      </c>
      <c r="V46" s="14">
        <f>AVERAGE(R46:R54)</f>
        <v>4.3747755369821548E-2</v>
      </c>
    </row>
    <row r="47" spans="1:27" x14ac:dyDescent="0.25">
      <c r="A47" t="s">
        <v>79</v>
      </c>
      <c r="B47" s="1">
        <v>46018</v>
      </c>
      <c r="C47" t="s">
        <v>21</v>
      </c>
      <c r="D47" t="s">
        <v>61</v>
      </c>
      <c r="E47" s="8" t="s">
        <v>51</v>
      </c>
      <c r="F47" s="9">
        <v>0.33222591362126203</v>
      </c>
      <c r="G47" s="8">
        <v>3.01</v>
      </c>
      <c r="H47" s="8">
        <v>0.25</v>
      </c>
      <c r="I47" s="8">
        <v>0.42</v>
      </c>
      <c r="J47" s="8">
        <v>10</v>
      </c>
      <c r="K47" s="8">
        <v>90</v>
      </c>
      <c r="L47" s="8">
        <v>0.5</v>
      </c>
      <c r="M47" s="8">
        <v>1.89524143114629E-4</v>
      </c>
      <c r="N47" s="8">
        <v>35085</v>
      </c>
      <c r="O47" s="8">
        <v>3.01</v>
      </c>
      <c r="P47" s="8">
        <v>36.119999999999997</v>
      </c>
      <c r="Q47" s="8">
        <v>9.8366119207332306E-2</v>
      </c>
      <c r="R47" s="13">
        <v>4.7122916854886801E-2</v>
      </c>
      <c r="S47">
        <v>4.7122916854886796</v>
      </c>
      <c r="T47">
        <v>0.991760343718598</v>
      </c>
      <c r="V47" s="14"/>
    </row>
    <row r="48" spans="1:27" x14ac:dyDescent="0.25">
      <c r="A48" t="s">
        <v>80</v>
      </c>
      <c r="B48" s="1">
        <v>46018</v>
      </c>
      <c r="C48" t="s">
        <v>25</v>
      </c>
      <c r="D48" t="s">
        <v>61</v>
      </c>
      <c r="E48" s="8" t="s">
        <v>51</v>
      </c>
      <c r="F48" s="9">
        <v>0.33222591362126203</v>
      </c>
      <c r="G48" s="8">
        <v>3.01</v>
      </c>
      <c r="H48" s="8">
        <v>0.25</v>
      </c>
      <c r="I48" s="8">
        <v>0.42</v>
      </c>
      <c r="J48" s="8">
        <v>10</v>
      </c>
      <c r="K48" s="8">
        <v>90</v>
      </c>
      <c r="L48" s="8">
        <v>0.5</v>
      </c>
      <c r="M48" s="8">
        <v>2.1273626467417799E-4</v>
      </c>
      <c r="N48" s="8">
        <v>34936</v>
      </c>
      <c r="O48" s="8">
        <v>3.01</v>
      </c>
      <c r="P48" s="8">
        <v>36.119999999999997</v>
      </c>
      <c r="Q48" s="8">
        <v>7.0723842705885095E-2</v>
      </c>
      <c r="R48" s="13">
        <v>3.3880707974896798E-2</v>
      </c>
      <c r="S48">
        <v>3.38807079748968</v>
      </c>
      <c r="T48">
        <v>0.99565086975165795</v>
      </c>
    </row>
    <row r="49" spans="1:20" x14ac:dyDescent="0.25">
      <c r="A49" t="s">
        <v>81</v>
      </c>
      <c r="B49" s="1">
        <v>46018</v>
      </c>
      <c r="C49" t="s">
        <v>27</v>
      </c>
      <c r="D49" t="s">
        <v>61</v>
      </c>
      <c r="E49" s="8" t="s">
        <v>51</v>
      </c>
      <c r="F49" s="9">
        <v>0.33222591362126203</v>
      </c>
      <c r="G49" s="8">
        <v>3.01</v>
      </c>
      <c r="H49" s="8">
        <v>0.25</v>
      </c>
      <c r="I49" s="8">
        <v>0.42</v>
      </c>
      <c r="J49" s="8">
        <v>10</v>
      </c>
      <c r="K49" s="8">
        <v>90</v>
      </c>
      <c r="L49" s="8">
        <v>0.5</v>
      </c>
      <c r="M49" s="8">
        <v>1.6739337832989199E-4</v>
      </c>
      <c r="N49" s="8">
        <v>35685</v>
      </c>
      <c r="O49" s="8">
        <v>3.01</v>
      </c>
      <c r="P49" s="8">
        <v>36.119999999999997</v>
      </c>
      <c r="Q49" s="8">
        <v>9.9211995261960298E-2</v>
      </c>
      <c r="R49" s="13">
        <v>4.7528139174451499E-2</v>
      </c>
      <c r="S49">
        <v>4.7528139174451498</v>
      </c>
      <c r="T49">
        <v>0.99167612732807997</v>
      </c>
    </row>
    <row r="50" spans="1:20" x14ac:dyDescent="0.25">
      <c r="A50" t="s">
        <v>82</v>
      </c>
      <c r="B50" s="1">
        <v>46018</v>
      </c>
      <c r="C50" t="s">
        <v>29</v>
      </c>
      <c r="D50" t="s">
        <v>61</v>
      </c>
      <c r="E50" s="8" t="s">
        <v>51</v>
      </c>
      <c r="F50" s="9">
        <v>0.33222591362126203</v>
      </c>
      <c r="G50" s="8">
        <v>3.01</v>
      </c>
      <c r="H50" s="8">
        <v>0.25</v>
      </c>
      <c r="I50" s="8">
        <v>0.42</v>
      </c>
      <c r="J50" s="8">
        <v>10</v>
      </c>
      <c r="K50" s="8">
        <v>90</v>
      </c>
      <c r="L50" s="8">
        <v>0.5</v>
      </c>
      <c r="M50" s="8">
        <v>2.19494652940091E-4</v>
      </c>
      <c r="N50" s="8">
        <v>35223</v>
      </c>
      <c r="O50" s="8">
        <v>3.01</v>
      </c>
      <c r="P50" s="8">
        <v>36.119999999999997</v>
      </c>
      <c r="Q50" s="8">
        <v>9.6846339668209006E-2</v>
      </c>
      <c r="R50" s="13">
        <v>4.6394856772441997E-2</v>
      </c>
      <c r="S50">
        <v>4.6394856772441999</v>
      </c>
      <c r="T50">
        <v>0.99240433421666296</v>
      </c>
    </row>
    <row r="51" spans="1:20" x14ac:dyDescent="0.25">
      <c r="A51" t="s">
        <v>83</v>
      </c>
      <c r="B51" s="1">
        <v>46018</v>
      </c>
      <c r="C51" t="s">
        <v>31</v>
      </c>
      <c r="D51" t="s">
        <v>61</v>
      </c>
      <c r="E51" s="8" t="s">
        <v>51</v>
      </c>
      <c r="F51" s="9">
        <v>0.33222591362126203</v>
      </c>
      <c r="G51" s="8">
        <v>3.01</v>
      </c>
      <c r="H51" s="8">
        <v>0.25</v>
      </c>
      <c r="I51" s="8">
        <v>0.42</v>
      </c>
      <c r="J51" s="8">
        <v>10</v>
      </c>
      <c r="K51" s="8">
        <v>90</v>
      </c>
      <c r="L51" s="8">
        <v>0.5</v>
      </c>
      <c r="M51" s="8">
        <v>2.5994433551847299E-4</v>
      </c>
      <c r="N51" s="8">
        <v>34981</v>
      </c>
      <c r="O51" s="8">
        <v>3.01</v>
      </c>
      <c r="P51" s="8">
        <v>36.119999999999997</v>
      </c>
      <c r="Q51" s="8">
        <v>7.0686603653862604E-2</v>
      </c>
      <c r="R51" s="13">
        <v>3.3862868369488403E-2</v>
      </c>
      <c r="S51">
        <v>3.3862868369488401</v>
      </c>
      <c r="T51">
        <v>0.99556647043838997</v>
      </c>
    </row>
    <row r="52" spans="1:20" x14ac:dyDescent="0.25">
      <c r="A52" t="s">
        <v>84</v>
      </c>
      <c r="B52" s="1">
        <v>46018</v>
      </c>
      <c r="C52" t="s">
        <v>33</v>
      </c>
      <c r="D52" t="s">
        <v>61</v>
      </c>
      <c r="E52" s="8" t="s">
        <v>51</v>
      </c>
      <c r="F52" s="9">
        <v>0.33222591362126203</v>
      </c>
      <c r="G52" s="8">
        <v>3.01</v>
      </c>
      <c r="H52" s="8">
        <v>0.25</v>
      </c>
      <c r="I52" s="8">
        <v>0.42</v>
      </c>
      <c r="J52" s="8">
        <v>10</v>
      </c>
      <c r="K52" s="8">
        <v>90</v>
      </c>
      <c r="L52" s="8">
        <v>0.5</v>
      </c>
      <c r="M52" s="8">
        <v>1.9990923758954899E-4</v>
      </c>
      <c r="N52" s="8">
        <v>35728</v>
      </c>
      <c r="O52" s="8">
        <v>3.01</v>
      </c>
      <c r="P52" s="8">
        <v>36.119999999999997</v>
      </c>
      <c r="Q52" s="8">
        <v>9.9737133674457107E-2</v>
      </c>
      <c r="R52" s="13">
        <v>4.7779710080662001E-2</v>
      </c>
      <c r="S52">
        <v>4.7779710080662001</v>
      </c>
      <c r="T52">
        <v>0.99136999517035296</v>
      </c>
    </row>
    <row r="53" spans="1:20" x14ac:dyDescent="0.25">
      <c r="A53" t="s">
        <v>85</v>
      </c>
      <c r="B53" s="1">
        <v>46018</v>
      </c>
      <c r="C53" t="s">
        <v>35</v>
      </c>
      <c r="D53" t="s">
        <v>61</v>
      </c>
      <c r="E53" s="8" t="s">
        <v>51</v>
      </c>
      <c r="F53" s="9">
        <v>0.33222591362126203</v>
      </c>
      <c r="G53" s="8">
        <v>3.01</v>
      </c>
      <c r="H53" s="8">
        <v>0.25</v>
      </c>
      <c r="I53" s="8">
        <v>0.42</v>
      </c>
      <c r="J53" s="8">
        <v>10</v>
      </c>
      <c r="K53" s="8">
        <v>90</v>
      </c>
      <c r="L53" s="8">
        <v>0.5</v>
      </c>
      <c r="M53" s="8">
        <v>2.4151908001222801E-4</v>
      </c>
      <c r="N53" s="8">
        <v>35410</v>
      </c>
      <c r="O53" s="8">
        <v>3.01</v>
      </c>
      <c r="P53" s="8">
        <v>36.119999999999997</v>
      </c>
      <c r="Q53" s="8">
        <v>9.6687296970841205E-2</v>
      </c>
      <c r="R53" s="13">
        <v>4.6318666353781297E-2</v>
      </c>
      <c r="S53">
        <v>4.6318666353781301</v>
      </c>
      <c r="T53">
        <v>0.99252300992769504</v>
      </c>
    </row>
    <row r="54" spans="1:20" x14ac:dyDescent="0.25">
      <c r="A54" t="s">
        <v>86</v>
      </c>
      <c r="B54" s="1">
        <v>46018</v>
      </c>
      <c r="C54" t="s">
        <v>37</v>
      </c>
      <c r="D54" t="s">
        <v>61</v>
      </c>
      <c r="E54" s="8" t="s">
        <v>51</v>
      </c>
      <c r="F54" s="9">
        <v>0.33222591362126203</v>
      </c>
      <c r="G54" s="8">
        <v>3.01</v>
      </c>
      <c r="H54" s="8">
        <v>0.25</v>
      </c>
      <c r="I54" s="8">
        <v>0.42</v>
      </c>
      <c r="J54" s="8">
        <v>10</v>
      </c>
      <c r="K54" s="8">
        <v>90</v>
      </c>
      <c r="L54" s="8">
        <v>0.5</v>
      </c>
      <c r="M54" s="8">
        <v>2.8666335896310202E-4</v>
      </c>
      <c r="N54" s="8">
        <v>35137</v>
      </c>
      <c r="O54" s="8">
        <v>3.01</v>
      </c>
      <c r="P54" s="8">
        <v>36.119999999999997</v>
      </c>
      <c r="Q54" s="8">
        <v>7.1511949957482404E-2</v>
      </c>
      <c r="R54" s="13">
        <v>3.4258255780879501E-2</v>
      </c>
      <c r="S54">
        <v>3.4258255780879501</v>
      </c>
      <c r="T54">
        <v>0.99514282274124499</v>
      </c>
    </row>
    <row r="55" spans="1:20" x14ac:dyDescent="0.25">
      <c r="A55" t="s">
        <v>87</v>
      </c>
      <c r="B55" s="1">
        <v>46018</v>
      </c>
      <c r="C55" t="s">
        <v>39</v>
      </c>
      <c r="D55" t="s">
        <v>61</v>
      </c>
      <c r="E55" s="8" t="s">
        <v>51</v>
      </c>
      <c r="F55" s="9">
        <v>0.33222591362126203</v>
      </c>
      <c r="G55" s="8">
        <v>3.01</v>
      </c>
      <c r="H55" s="8">
        <v>0.25</v>
      </c>
      <c r="I55" s="8">
        <v>0.42</v>
      </c>
      <c r="J55" s="8">
        <v>10</v>
      </c>
      <c r="K55" s="8">
        <v>90</v>
      </c>
      <c r="L55" s="8">
        <v>0.5</v>
      </c>
      <c r="M55" s="8">
        <v>2.2825210389043401E-4</v>
      </c>
      <c r="N55" s="8">
        <v>35784</v>
      </c>
      <c r="O55" s="8">
        <v>3.01</v>
      </c>
      <c r="P55" s="8">
        <v>36.119999999999997</v>
      </c>
      <c r="Q55" s="8">
        <v>9.9731931777422206E-2</v>
      </c>
      <c r="R55" s="13">
        <v>4.77772180787061E-2</v>
      </c>
      <c r="S55">
        <v>4.7777218078706101</v>
      </c>
      <c r="T55">
        <v>0.99078658119009499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damping_summary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Anandharam Mourougassamy</cp:lastModifiedBy>
  <dcterms:created xsi:type="dcterms:W3CDTF">2026-06-25T22:50:55Z</dcterms:created>
  <dcterms:modified xsi:type="dcterms:W3CDTF">2026-06-26T17:49:35Z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og_LastTime">
    <vt:filetime>2026-06-26T17:49:15Z</vt:filetime>
  </property>
  <property fmtid="{D5CDD505-2E9C-101B-9397-08002B2CF9AE}" pid="3" name="Log_TotalTime">
    <vt:i4>3166</vt:i4>
  </property>
  <property fmtid="{D5CDD505-2E9C-101B-9397-08002B2CF9AE}" pid="4" name="Log_Title">
    <vt:lpwstr>damping_summary.csv</vt:lpwstr>
  </property>
</Properties>
</file>